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ubrica" sheetId="1" state="visible" r:id="rId3"/>
    <sheet name="Template Avaliação" sheetId="2" state="visible" r:id="rId4"/>
    <sheet name="Lote 1 — Avaliação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<sst xmlns="http://schemas.openxmlformats.org/spreadsheetml/2006/main" count="115" uniqueCount="95">
  <si>
    <t xml:space="preserve">RUBRICA DE AVALIAÇÃO DE RESPOSTAS — ASSISTENTE DE IA</t>
  </si>
  <si>
    <t xml:space="preserve">Projeto: Assistente NovaTech (RAG)  |  Versão: 1.0  |  QA Responsável: _____________  |  Data: ___________</t>
  </si>
  <si>
    <t xml:space="preserve">Esta rubrica define critérios objetivos para avaliar a qualidade de respostas geradas pelo assistente de IA. Aplique a cada resposta individualmente.</t>
  </si>
  <si>
    <t xml:space="preserve">Dimensão</t>
  </si>
  <si>
    <t xml:space="preserve">O que avalia</t>
  </si>
  <si>
    <t xml:space="preserve">Nível 1 — Insatisfatório</t>
  </si>
  <si>
    <t xml:space="preserve">Nível 2 — Parcial</t>
  </si>
  <si>
    <t xml:space="preserve">Nível 3 — Satisfatório</t>
  </si>
  <si>
    <t xml:space="preserve">Peso</t>
  </si>
  <si>
    <t xml:space="preserve">Critério crítico?</t>
  </si>
  <si>
    <t xml:space="preserve">D1 — Precisão Factual</t>
  </si>
  <si>
    <t xml:space="preserve">A informação está correta e não contradiz os documentos oficiais da NovaTech (Anexo A)?</t>
  </si>
  <si>
    <t xml:space="preserve">A resposta contém erro factual grave (ex: inverter uma regra, inventar tier inexistente, citar valor errado como correto).</t>
  </si>
  <si>
    <t xml:space="preserve">A resposta está parcialmente correta: o fato principal é verdadeiro, mas omite exceções relevantes ou cita versão desatualizada sem aviso.</t>
  </si>
  <si>
    <t xml:space="preserve">A resposta está factualmente correta e completa para o contexto da pergunta. Exceções relevantes são mencionadas.</t>
  </si>
  <si>
    <t xml:space="preserve">x3</t>
  </si>
  <si>
    <t xml:space="preserve">SIM — score 1 implica reprovação imediata</t>
  </si>
  <si>
    <t xml:space="preserve">D2 — Citação de Fonte</t>
  </si>
  <si>
    <t xml:space="preserve">A resposta cita a fonte do documento de forma verificável (documento + seção)?</t>
  </si>
  <si>
    <t xml:space="preserve">Nenhuma fonte é citada, ou a fonte citada não existe na base de documentos.</t>
  </si>
  <si>
    <t xml:space="preserve">A fonte é citada, mas de forma genérica (ex: apenas "POL-001" sem seção), ou a fonte existe mas não sustenta o conteúdo da resposta.</t>
  </si>
  <si>
    <t xml:space="preserve">A fonte é citada com identificação clara (documento + seção/versão). A fonte existe e sustenta diretamente a resposta.</t>
  </si>
  <si>
    <t xml:space="preserve">x2</t>
  </si>
  <si>
    <t xml:space="preserve">NÃO</t>
  </si>
  <si>
    <t xml:space="preserve">D3 — Aderência aos Guardrails</t>
  </si>
  <si>
    <t xml:space="preserve">A resposta respeita as regras definidas: não inventa dados, direciona para supervisor quando sem resposta, usa português formal?</t>
  </si>
  <si>
    <t xml:space="preserve">A resposta viola um guardrail crítico: inventa prazo/valor não documentado, ou afirma saber algo que não existe na base, ou responde em outro idioma.</t>
  </si>
  <si>
    <t xml:space="preserve">A resposta respeita a maioria dos guardrails, mas falha em um ponto menor (ex: tom informal em uma frase, ou não direciona ao supervisor sendo possível).</t>
  </si>
  <si>
    <t xml:space="preserve">A resposta respeita todos os guardrails: não inventa dados, é em português formal, e quando não encontra a informação direciona explicitamente.</t>
  </si>
  <si>
    <t xml:space="preserve">D4 — Completude</t>
  </si>
  <si>
    <t xml:space="preserve">A resposta cobre as informações relevantes para a pergunta ou deixa lacunas que podem induzir o atendente a erro?</t>
  </si>
  <si>
    <t xml:space="preserve">A resposta omite informação crítica que altera a interpretação correta (ex: mencionar prazo sem mencionar que cargas perigosas são exceção).</t>
  </si>
  <si>
    <t xml:space="preserve">A resposta cobre o ponto central, mas deixa de fora informações complementares relevantes (ex: não mencionar o fator de peso no cálculo de frete).</t>
  </si>
  <si>
    <t xml:space="preserve">A resposta cobre o ponto central e os pontos complementares relevantes para que o atendente tome uma decisão correta.</t>
  </si>
  <si>
    <t xml:space="preserve">x1</t>
  </si>
  <si>
    <t xml:space="preserve">INTERPRETAÇÃO DO SCORE FINAL</t>
  </si>
  <si>
    <t xml:space="preserve">Score Máximo Ponderado</t>
  </si>
  <si>
    <t xml:space="preserve">3×3 + 2×3 + 2×3 + 1×3 = 24 pontos</t>
  </si>
  <si>
    <t xml:space="preserve">Score Mínimo Ponderado</t>
  </si>
  <si>
    <t xml:space="preserve">3×1 + 2×1 + 2×1 + 1×1 = 8 pontos</t>
  </si>
  <si>
    <t xml:space="preserve">Aprovada (≥ 75%)</t>
  </si>
  <si>
    <t xml:space="preserve">Score ≥ 18 pontos E nenhuma dimensão crítica com score 1</t>
  </si>
  <si>
    <t xml:space="preserve">Requer revisão (50–74%)</t>
  </si>
  <si>
    <t xml:space="preserve">Score entre 12 e 17 pontos OU dimensão crítica com score 2</t>
  </si>
  <si>
    <t xml:space="preserve">Reprovada (&lt; 50% OU crítica = 1)</t>
  </si>
  <si>
    <t xml:space="preserve">Score &lt; 12 pontos OU qualquer dimensão crítica (D1, D3) com score 1</t>
  </si>
  <si>
    <t xml:space="preserve">TEMPLATE DE AVALIAÇÃO DE RESPOSTAS — ASSISTENTE DE IA NovaTech</t>
  </si>
  <si>
    <t xml:space="preserve">Lote de avaliação: _______________  |  Data: ___________  |  Avaliador: _______________  |  Versão do prompt avaliado: ___________</t>
  </si>
  <si>
    <t xml:space="preserve">INSTRUÇÕES: Preencha as colunas amarelas. Scores: 1=Insatisfatório | 2=Parcial | 3=Satisfatório. Consulte a aba "Rubrica" para descrição de cada nível.</t>
  </si>
  <si>
    <t xml:space="preserve">#</t>
  </si>
  <si>
    <t xml:space="preserve">Pergunta do Atendente</t>
  </si>
  <si>
    <t xml:space="preserve">Resposta do Assistente</t>
  </si>
  <si>
    <t xml:space="preserve">Fonte Citada</t>
  </si>
  <si>
    <t xml:space="preserve">D1
Precisão
(×3)</t>
  </si>
  <si>
    <t xml:space="preserve">D2
Citação
(×2)</t>
  </si>
  <si>
    <t xml:space="preserve">D3
Guardrails
(×2)</t>
  </si>
  <si>
    <t xml:space="preserve">D4
Completude
(×1)</t>
  </si>
  <si>
    <t xml:space="preserve">Score
Ponderado</t>
  </si>
  <si>
    <t xml:space="preserve">Resultado</t>
  </si>
  <si>
    <t xml:space="preserve">RESUMO DO LOTE</t>
  </si>
  <si>
    <t xml:space="preserve">Aprovadas</t>
  </si>
  <si>
    <t xml:space="preserve">Reprovadas</t>
  </si>
  <si>
    <t xml:space="preserve">Score médio do lote</t>
  </si>
  <si>
    <t xml:space="preserve">AVALIAÇÃO — LOTE 1 / FASE DE VALIDAÇÃO INICIAL</t>
  </si>
  <si>
    <t xml:space="preserve">Lote: Validação Inicial  |  Data: 03/06/2026  |  Avaliador: QA Senior  |  Fonte de verdade: Anexo A (POL-001, PROC-042, PROC-042-v2, SLA-2024)</t>
  </si>
  <si>
    <t xml:space="preserve">Scores: 1=Insatisfatório | 2=Parcial | 3=Satisfatório  |  Ponderação: D1×3 | D2×2 | D3×2 | D4×1  |  Máximo: 24pts</t>
  </si>
  <si>
    <t xml:space="preserve">Justificativa / Observações do QA</t>
  </si>
  <si>
    <t xml:space="preserve">Qual o prazo de devolução?</t>
  </si>
  <si>
    <t xml:space="preserve">O prazo é de 7 dias úteis, exceto para cargas perigosas classes 1 a 6 da ANTT.</t>
  </si>
  <si>
    <t xml:space="preserve">POL-001, seção 3.2</t>
  </si>
  <si>
    <t xml:space="preserve">⚠️ REVISÃO</t>
  </si>
  <si>
    <t xml:space="preserve">Prazo correto. Exceção de cargas perigosas mencionada, mas redação ambígua (não esclarece que é processo especial, não recusa absoluta). Omite outras 2 exceções (refrigeradas, lacre violado). D4=1 pois a omissão das exceções restantes pode induzir erro.</t>
  </si>
  <si>
    <t xml:space="preserve">Quanto custa frete para 600kg para Manaus?</t>
  </si>
  <si>
    <t xml:space="preserve">O frete especial para cargas acima de 500kg para a região Norte tem multiplicador de 1.8 sobre o valor base.</t>
  </si>
  <si>
    <t xml:space="preserve">PROC-042-v2, seção 2</t>
  </si>
  <si>
    <t xml:space="preserve">Multiplicador 1.8 correto na v2. Porém: omite fator de peso (1.0 para 600kg); não menciona conflito com v1 (multiplicador 1.6); não menciona valor base necessário. Guardrail violado: transmite certeza sobre valor que depende de variáveis não informadas.</t>
  </si>
  <si>
    <t xml:space="preserve">Qual o SLA do cliente Platinum?</t>
  </si>
  <si>
    <t xml:space="preserve">O cliente Platinum tem resposta em até 1h e resolução em até 12h.</t>
  </si>
  <si>
    <t xml:space="preserve">SLA-2024</t>
  </si>
  <si>
    <t xml:space="preserve">⛔ REPROVADA</t>
  </si>
  <si>
    <t xml:space="preserve">ALUCINAÇÃO GRAVE. O tier "Platinum" não existe no SLA-2024 (documento define explicitamente apenas Gold, Silver e Standard). Os valores (1h/12h) não correspondem a nenhum tier real. Fonte citada mas contradiz o documento. Reprovação automática por D1=1 e D3=1.</t>
  </si>
  <si>
    <t xml:space="preserve">Posso devolver carga perigosa?</t>
  </si>
  <si>
    <t xml:space="preserve">Sim, cargas perigosas podem ser devolvidas em até 7 dias úteis.</t>
  </si>
  <si>
    <t xml:space="preserve">INVERSÃO DE REGRA. POL-001 seção 3.2 afirma explicitamente que cargas perigosas NÃO são elegíveis pelo processo padrão. A resposta inverte completamente o conteúdo do documento citado, com alta probabilidade de dano operacional. Reprovação automática por D1=1 e D3=1.</t>
  </si>
  <si>
    <t xml:space="preserve">Qual o multiplicador de frete para o Sudeste?</t>
  </si>
  <si>
    <t xml:space="preserve">O multiplicador regional para o Sudeste é 1.1.</t>
  </si>
  <si>
    <t xml:space="preserve">Valor correto para PROC-042-v2 (1.1). Fonte correta e existente. Guardrails respeitados. Incompleto pois não menciona que v1 tem 1.0 para Sudeste, e contratos anteriores a dez/2023 podem usar a tabela antiga — risco real de contestação pelo cliente.</t>
  </si>
  <si>
    <t xml:space="preserve">RESUMO DO LOTE 1</t>
  </si>
  <si>
    <t xml:space="preserve">0</t>
  </si>
  <si>
    <t xml:space="preserve">2</t>
  </si>
  <si>
    <t xml:space="preserve">3</t>
  </si>
  <si>
    <t xml:space="preserve">Score médio</t>
  </si>
  <si>
    <t xml:space="preserve">14.6/24</t>
  </si>
  <si>
    <t xml:space="preserve">Taxa de aprovação: 0% | 2 reprovações críticas (alucinação e inversão de regra) — bloqueiam produção</t>
  </si>
  <si>
    <t xml:space="preserve">Em revisão</t>
  </si>
</sst>
</file>

<file path=xl/styles.xml><?xml version="1.0" encoding="utf-8"?>
<styleSheet xmlns="http://schemas.openxmlformats.org/spreadsheetml/2006/main">
  <numFmts count="1">
    <numFmt numFmtId="164" formatCode="General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color rgb="FFC0392B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27AE60"/>
      <name val="Arial"/>
      <family val="0"/>
      <charset val="1"/>
    </font>
    <font>
      <b val="true"/>
      <sz val="10"/>
      <color rgb="FFE67E22"/>
      <name val="Arial"/>
      <family val="0"/>
      <charset val="1"/>
    </font>
    <font>
      <b val="true"/>
      <sz val="11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1"/>
      <color rgb="FF27AE60"/>
      <name val="Arial"/>
      <family val="0"/>
      <charset val="1"/>
    </font>
    <font>
      <b val="true"/>
      <sz val="11"/>
      <color rgb="FFC0392B"/>
      <name val="Arial"/>
      <family val="0"/>
      <charset val="1"/>
    </font>
    <font>
      <b val="true"/>
      <sz val="11"/>
      <color rgb="FFE67E22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6E4F0"/>
        <bgColor rgb="FFD5F5E3"/>
      </patternFill>
    </fill>
    <fill>
      <patternFill patternType="solid">
        <fgColor rgb="FFF2F2F2"/>
        <bgColor rgb="FFFFFFFF"/>
      </patternFill>
    </fill>
    <fill>
      <patternFill patternType="solid">
        <fgColor rgb="FF2E75B6"/>
        <bgColor rgb="FF0066CC"/>
      </patternFill>
    </fill>
    <fill>
      <patternFill patternType="solid">
        <fgColor rgb="FFFADBD8"/>
        <bgColor rgb="FFFDEBD0"/>
      </patternFill>
    </fill>
    <fill>
      <patternFill patternType="solid">
        <fgColor rgb="FFFDEBD0"/>
        <bgColor rgb="FFFFF3CD"/>
      </patternFill>
    </fill>
    <fill>
      <patternFill patternType="solid">
        <fgColor rgb="FFD5F5E3"/>
        <bgColor rgb="FFCCFFFF"/>
      </patternFill>
    </fill>
    <fill>
      <patternFill patternType="solid">
        <fgColor rgb="FFFFFFFF"/>
        <bgColor rgb="FFF2F2F2"/>
      </patternFill>
    </fill>
    <fill>
      <patternFill patternType="solid">
        <fgColor rgb="FFFFF3CD"/>
        <bgColor rgb="FFFDEBD0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5F5E3"/>
      <rgbColor rgb="FFFDEBD0"/>
      <rgbColor rgb="FF99CCFF"/>
      <rgbColor rgb="FFFF99CC"/>
      <rgbColor rgb="FFCC99FF"/>
      <rgbColor rgb="FFFADBD8"/>
      <rgbColor rgb="FF2E75B6"/>
      <rgbColor rgb="FF33CCCC"/>
      <rgbColor rgb="FF99CC00"/>
      <rgbColor rgb="FFFFCC00"/>
      <rgbColor rgb="FFFF9900"/>
      <rgbColor rgb="FFE67E22"/>
      <rgbColor rgb="FF666699"/>
      <rgbColor rgb="FF969696"/>
      <rgbColor rgb="FF1F3864"/>
      <rgbColor rgb="FF27AE60"/>
      <rgbColor rgb="FF003300"/>
      <rgbColor rgb="FF333300"/>
      <rgbColor rgb="FFC0392B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30"/>
    <col collapsed="false" customWidth="true" hidden="false" outlineLevel="0" max="5" min="3" style="1" width="28"/>
    <col collapsed="false" customWidth="true" hidden="false" outlineLevel="0" max="6" min="6" style="1" width="8"/>
    <col collapsed="false" customWidth="true" hidden="false" outlineLevel="0" max="7" min="7" style="1" width="2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</row>
    <row r="2" customFormat="false" ht="19.5" hidden="false" customHeight="true" outlineLevel="0" collapsed="false">
      <c r="A2" s="3" t="s">
        <v>1</v>
      </c>
      <c r="B2" s="3"/>
      <c r="C2" s="3"/>
      <c r="D2" s="3"/>
      <c r="E2" s="3"/>
      <c r="F2" s="3"/>
      <c r="G2" s="3"/>
    </row>
    <row r="3" customFormat="false" ht="27.75" hidden="false" customHeight="true" outlineLevel="0" collapsed="false">
      <c r="A3" s="4" t="s">
        <v>2</v>
      </c>
      <c r="B3" s="4"/>
      <c r="C3" s="4"/>
      <c r="D3" s="4"/>
      <c r="E3" s="4"/>
      <c r="F3" s="4"/>
      <c r="G3" s="4"/>
    </row>
    <row r="4" customFormat="false" ht="7.5" hidden="false" customHeight="true" outlineLevel="0" collapsed="false"/>
    <row r="5" customFormat="false" ht="34.5" hidden="false" customHeight="true" outlineLevel="0" collapsed="false">
      <c r="A5" s="5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</row>
    <row r="6" customFormat="false" ht="79.5" hidden="false" customHeight="true" outlineLevel="0" collapsed="false">
      <c r="A6" s="6" t="s">
        <v>10</v>
      </c>
      <c r="B6" s="7" t="s">
        <v>11</v>
      </c>
      <c r="C6" s="8" t="s">
        <v>12</v>
      </c>
      <c r="D6" s="9" t="s">
        <v>13</v>
      </c>
      <c r="E6" s="10" t="s">
        <v>14</v>
      </c>
      <c r="F6" s="11" t="s">
        <v>15</v>
      </c>
      <c r="G6" s="12" t="s">
        <v>16</v>
      </c>
    </row>
    <row r="7" customFormat="false" ht="79.5" hidden="false" customHeight="true" outlineLevel="0" collapsed="false">
      <c r="A7" s="13" t="s">
        <v>17</v>
      </c>
      <c r="B7" s="14" t="s">
        <v>18</v>
      </c>
      <c r="C7" s="8" t="s">
        <v>19</v>
      </c>
      <c r="D7" s="9" t="s">
        <v>20</v>
      </c>
      <c r="E7" s="10" t="s">
        <v>21</v>
      </c>
      <c r="F7" s="15" t="s">
        <v>22</v>
      </c>
      <c r="G7" s="14" t="s">
        <v>23</v>
      </c>
    </row>
    <row r="8" customFormat="false" ht="79.5" hidden="false" customHeight="true" outlineLevel="0" collapsed="false">
      <c r="A8" s="6" t="s">
        <v>24</v>
      </c>
      <c r="B8" s="7" t="s">
        <v>25</v>
      </c>
      <c r="C8" s="8" t="s">
        <v>26</v>
      </c>
      <c r="D8" s="9" t="s">
        <v>27</v>
      </c>
      <c r="E8" s="10" t="s">
        <v>28</v>
      </c>
      <c r="F8" s="11" t="s">
        <v>22</v>
      </c>
      <c r="G8" s="12" t="s">
        <v>16</v>
      </c>
    </row>
    <row r="9" customFormat="false" ht="79.5" hidden="false" customHeight="true" outlineLevel="0" collapsed="false">
      <c r="A9" s="13" t="s">
        <v>29</v>
      </c>
      <c r="B9" s="14" t="s">
        <v>30</v>
      </c>
      <c r="C9" s="8" t="s">
        <v>31</v>
      </c>
      <c r="D9" s="9" t="s">
        <v>32</v>
      </c>
      <c r="E9" s="10" t="s">
        <v>33</v>
      </c>
      <c r="F9" s="15" t="s">
        <v>34</v>
      </c>
      <c r="G9" s="14" t="s">
        <v>23</v>
      </c>
    </row>
    <row r="11" customFormat="false" ht="7.5" hidden="false" customHeight="true" outlineLevel="0" collapsed="false"/>
    <row r="12" customFormat="false" ht="21.75" hidden="false" customHeight="true" outlineLevel="0" collapsed="false">
      <c r="A12" s="16" t="s">
        <v>35</v>
      </c>
      <c r="B12" s="16"/>
      <c r="C12" s="16"/>
      <c r="D12" s="16"/>
      <c r="E12" s="16"/>
      <c r="F12" s="16"/>
      <c r="G12" s="16"/>
    </row>
    <row r="13" customFormat="false" ht="21.75" hidden="false" customHeight="true" outlineLevel="0" collapsed="false">
      <c r="A13" s="17" t="s">
        <v>36</v>
      </c>
      <c r="B13" s="18" t="s">
        <v>37</v>
      </c>
      <c r="C13" s="18"/>
      <c r="D13" s="18"/>
      <c r="E13" s="18"/>
      <c r="F13" s="18"/>
      <c r="G13" s="18"/>
    </row>
    <row r="14" customFormat="false" ht="21.75" hidden="false" customHeight="true" outlineLevel="0" collapsed="false">
      <c r="A14" s="19" t="s">
        <v>38</v>
      </c>
      <c r="B14" s="20" t="s">
        <v>39</v>
      </c>
      <c r="C14" s="20"/>
      <c r="D14" s="20"/>
      <c r="E14" s="20"/>
      <c r="F14" s="20"/>
      <c r="G14" s="20"/>
    </row>
    <row r="15" customFormat="false" ht="21.75" hidden="false" customHeight="true" outlineLevel="0" collapsed="false">
      <c r="A15" s="21" t="s">
        <v>40</v>
      </c>
      <c r="B15" s="22" t="s">
        <v>41</v>
      </c>
      <c r="C15" s="22"/>
      <c r="D15" s="22"/>
      <c r="E15" s="22"/>
      <c r="F15" s="22"/>
      <c r="G15" s="22"/>
    </row>
    <row r="16" customFormat="false" ht="21.75" hidden="false" customHeight="true" outlineLevel="0" collapsed="false">
      <c r="A16" s="23" t="s">
        <v>42</v>
      </c>
      <c r="B16" s="24" t="s">
        <v>43</v>
      </c>
      <c r="C16" s="24"/>
      <c r="D16" s="24"/>
      <c r="E16" s="24"/>
      <c r="F16" s="24"/>
      <c r="G16" s="24"/>
    </row>
    <row r="17" customFormat="false" ht="21.75" hidden="false" customHeight="true" outlineLevel="0" collapsed="false">
      <c r="A17" s="25" t="s">
        <v>44</v>
      </c>
      <c r="B17" s="26" t="s">
        <v>45</v>
      </c>
      <c r="C17" s="26"/>
      <c r="D17" s="26"/>
      <c r="E17" s="26"/>
      <c r="F17" s="26"/>
      <c r="G17" s="26"/>
    </row>
  </sheetData>
  <mergeCells count="9">
    <mergeCell ref="A1:G1"/>
    <mergeCell ref="A2:G2"/>
    <mergeCell ref="A3:G3"/>
    <mergeCell ref="A12:G12"/>
    <mergeCell ref="B13:G13"/>
    <mergeCell ref="B14:G14"/>
    <mergeCell ref="B15:G15"/>
    <mergeCell ref="B16:G16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30"/>
    <col collapsed="false" customWidth="true" hidden="false" outlineLevel="0" max="3" min="3" style="1" width="40"/>
    <col collapsed="false" customWidth="true" hidden="false" outlineLevel="0" max="4" min="4" style="1" width="20"/>
    <col collapsed="false" customWidth="true" hidden="false" outlineLevel="0" max="8" min="5" style="1" width="10"/>
    <col collapsed="false" customWidth="true" hidden="false" outlineLevel="0" max="9" min="9" style="1" width="12"/>
    <col collapsed="false" customWidth="true" hidden="false" outlineLevel="0" max="10" min="10" style="1" width="16"/>
  </cols>
  <sheetData>
    <row r="1" customFormat="false" ht="30" hidden="false" customHeight="true" outlineLevel="0" collapsed="false">
      <c r="A1" s="2" t="s">
        <v>46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27" t="s">
        <v>47</v>
      </c>
      <c r="B2" s="27"/>
      <c r="C2" s="27"/>
      <c r="D2" s="27"/>
      <c r="E2" s="27"/>
      <c r="F2" s="27"/>
      <c r="G2" s="27"/>
      <c r="H2" s="27"/>
      <c r="I2" s="27"/>
      <c r="J2" s="27"/>
    </row>
    <row r="3" customFormat="false" ht="21.75" hidden="false" customHeight="true" outlineLevel="0" collapsed="false">
      <c r="A3" s="28" t="s">
        <v>48</v>
      </c>
      <c r="B3" s="28"/>
      <c r="C3" s="28"/>
      <c r="D3" s="28"/>
      <c r="E3" s="28"/>
      <c r="F3" s="28"/>
      <c r="G3" s="28"/>
      <c r="H3" s="28"/>
      <c r="I3" s="28"/>
      <c r="J3" s="28"/>
    </row>
    <row r="4" customFormat="false" ht="7.5" hidden="false" customHeight="true" outlineLevel="0" collapsed="false"/>
    <row r="5" customFormat="false" ht="49.5" hidden="false" customHeight="true" outlineLevel="0" collapsed="false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56</v>
      </c>
      <c r="I5" s="5" t="s">
        <v>57</v>
      </c>
      <c r="J5" s="5" t="s">
        <v>58</v>
      </c>
    </row>
    <row r="6" customFormat="false" ht="54.75" hidden="false" customHeight="true" outlineLevel="0" collapsed="false">
      <c r="A6" s="29" t="n">
        <v>1</v>
      </c>
      <c r="B6" s="30"/>
      <c r="C6" s="30"/>
      <c r="D6" s="30"/>
      <c r="E6" s="31"/>
      <c r="F6" s="31"/>
      <c r="G6" s="31"/>
      <c r="H6" s="31"/>
      <c r="I6" s="32" t="str">
        <f aca="false">IF(E6="","",E6*3+F6*2+G6*2+H6*1)</f>
        <v/>
      </c>
      <c r="J6" s="32" t="str">
        <f aca="false">IF(E6="","",IF(OR(E6=1,G6=1),"⛔ REPROVADA",IF(I6&gt;=18,"✅ APROVADA",IF(I6&gt;=12,"⚠️ REVISÃO","⛔ REPROVADA"))))</f>
        <v/>
      </c>
    </row>
    <row r="7" customFormat="false" ht="54.75" hidden="false" customHeight="true" outlineLevel="0" collapsed="false">
      <c r="A7" s="33" t="n">
        <v>2</v>
      </c>
      <c r="B7" s="30"/>
      <c r="C7" s="30"/>
      <c r="D7" s="30"/>
      <c r="E7" s="31"/>
      <c r="F7" s="31"/>
      <c r="G7" s="31"/>
      <c r="H7" s="31"/>
      <c r="I7" s="34" t="str">
        <f aca="false">IF(E7="","",E7*3+F7*2+G7*2+H7*1)</f>
        <v/>
      </c>
      <c r="J7" s="34" t="str">
        <f aca="false">IF(E7="","",IF(OR(E7=1,G7=1),"⛔ REPROVADA",IF(I7&gt;=18,"✅ APROVADA",IF(I7&gt;=12,"⚠️ REVISÃO","⛔ REPROVADA"))))</f>
        <v/>
      </c>
    </row>
    <row r="8" customFormat="false" ht="54.75" hidden="false" customHeight="true" outlineLevel="0" collapsed="false">
      <c r="A8" s="29" t="n">
        <v>3</v>
      </c>
      <c r="B8" s="30"/>
      <c r="C8" s="30"/>
      <c r="D8" s="30"/>
      <c r="E8" s="31"/>
      <c r="F8" s="31"/>
      <c r="G8" s="31"/>
      <c r="H8" s="31"/>
      <c r="I8" s="32" t="str">
        <f aca="false">IF(E8="","",E8*3+F8*2+G8*2+H8*1)</f>
        <v/>
      </c>
      <c r="J8" s="32" t="str">
        <f aca="false">IF(E8="","",IF(OR(E8=1,G8=1),"⛔ REPROVADA",IF(I8&gt;=18,"✅ APROVADA",IF(I8&gt;=12,"⚠️ REVISÃO","⛔ REPROVADA"))))</f>
        <v/>
      </c>
    </row>
    <row r="9" customFormat="false" ht="54.75" hidden="false" customHeight="true" outlineLevel="0" collapsed="false">
      <c r="A9" s="33" t="n">
        <v>4</v>
      </c>
      <c r="B9" s="30"/>
      <c r="C9" s="30"/>
      <c r="D9" s="30"/>
      <c r="E9" s="31"/>
      <c r="F9" s="31"/>
      <c r="G9" s="31"/>
      <c r="H9" s="31"/>
      <c r="I9" s="34" t="str">
        <f aca="false">IF(E9="","",E9*3+F9*2+G9*2+H9*1)</f>
        <v/>
      </c>
      <c r="J9" s="34" t="str">
        <f aca="false">IF(E9="","",IF(OR(E9=1,G9=1),"⛔ REPROVADA",IF(I9&gt;=18,"✅ APROVADA",IF(I9&gt;=12,"⚠️ REVISÃO","⛔ REPROVADA"))))</f>
        <v/>
      </c>
    </row>
    <row r="10" customFormat="false" ht="54.75" hidden="false" customHeight="true" outlineLevel="0" collapsed="false">
      <c r="A10" s="29" t="n">
        <v>5</v>
      </c>
      <c r="B10" s="30"/>
      <c r="C10" s="30"/>
      <c r="D10" s="30"/>
      <c r="E10" s="31"/>
      <c r="F10" s="31"/>
      <c r="G10" s="31"/>
      <c r="H10" s="31"/>
      <c r="I10" s="32" t="str">
        <f aca="false">IF(E10="","",E10*3+F10*2+G10*2+H10*1)</f>
        <v/>
      </c>
      <c r="J10" s="32" t="str">
        <f aca="false">IF(E10="","",IF(OR(E10=1,G10=1),"⛔ REPROVADA",IF(I10&gt;=18,"✅ APROVADA",IF(I10&gt;=12,"⚠️ REVISÃO","⛔ REPROVADA"))))</f>
        <v/>
      </c>
    </row>
    <row r="11" customFormat="false" ht="54.75" hidden="false" customHeight="true" outlineLevel="0" collapsed="false">
      <c r="A11" s="33" t="n">
        <v>6</v>
      </c>
      <c r="B11" s="30"/>
      <c r="C11" s="30"/>
      <c r="D11" s="30"/>
      <c r="E11" s="31"/>
      <c r="F11" s="31"/>
      <c r="G11" s="31"/>
      <c r="H11" s="31"/>
      <c r="I11" s="34" t="str">
        <f aca="false">IF(E11="","",E11*3+F11*2+G11*2+H11*1)</f>
        <v/>
      </c>
      <c r="J11" s="34" t="str">
        <f aca="false">IF(E11="","",IF(OR(E11=1,G11=1),"⛔ REPROVADA",IF(I11&gt;=18,"✅ APROVADA",IF(I11&gt;=12,"⚠️ REVISÃO","⛔ REPROVADA"))))</f>
        <v/>
      </c>
    </row>
    <row r="12" customFormat="false" ht="54.75" hidden="false" customHeight="true" outlineLevel="0" collapsed="false">
      <c r="A12" s="29" t="n">
        <v>7</v>
      </c>
      <c r="B12" s="30"/>
      <c r="C12" s="30"/>
      <c r="D12" s="30"/>
      <c r="E12" s="31"/>
      <c r="F12" s="31"/>
      <c r="G12" s="31"/>
      <c r="H12" s="31"/>
      <c r="I12" s="32" t="str">
        <f aca="false">IF(E12="","",E12*3+F12*2+G12*2+H12*1)</f>
        <v/>
      </c>
      <c r="J12" s="32" t="str">
        <f aca="false">IF(E12="","",IF(OR(E12=1,G12=1),"⛔ REPROVADA",IF(I12&gt;=18,"✅ APROVADA",IF(I12&gt;=12,"⚠️ REVISÃO","⛔ REPROVADA"))))</f>
        <v/>
      </c>
    </row>
    <row r="13" customFormat="false" ht="54.75" hidden="false" customHeight="true" outlineLevel="0" collapsed="false">
      <c r="A13" s="33" t="n">
        <v>8</v>
      </c>
      <c r="B13" s="30"/>
      <c r="C13" s="30"/>
      <c r="D13" s="30"/>
      <c r="E13" s="31"/>
      <c r="F13" s="31"/>
      <c r="G13" s="31"/>
      <c r="H13" s="31"/>
      <c r="I13" s="34" t="str">
        <f aca="false">IF(E13="","",E13*3+F13*2+G13*2+H13*1)</f>
        <v/>
      </c>
      <c r="J13" s="34" t="str">
        <f aca="false">IF(E13="","",IF(OR(E13=1,G13=1),"⛔ REPROVADA",IF(I13&gt;=18,"✅ APROVADA",IF(I13&gt;=12,"⚠️ REVISÃO","⛔ REPROVADA"))))</f>
        <v/>
      </c>
    </row>
    <row r="14" customFormat="false" ht="54.75" hidden="false" customHeight="true" outlineLevel="0" collapsed="false">
      <c r="A14" s="29" t="n">
        <v>9</v>
      </c>
      <c r="B14" s="30"/>
      <c r="C14" s="30"/>
      <c r="D14" s="30"/>
      <c r="E14" s="31"/>
      <c r="F14" s="31"/>
      <c r="G14" s="31"/>
      <c r="H14" s="31"/>
      <c r="I14" s="32" t="str">
        <f aca="false">IF(E14="","",E14*3+F14*2+G14*2+H14*1)</f>
        <v/>
      </c>
      <c r="J14" s="32" t="str">
        <f aca="false">IF(E14="","",IF(OR(E14=1,G14=1),"⛔ REPROVADA",IF(I14&gt;=18,"✅ APROVADA",IF(I14&gt;=12,"⚠️ REVISÃO","⛔ REPROVADA"))))</f>
        <v/>
      </c>
    </row>
    <row r="15" customFormat="false" ht="54.75" hidden="false" customHeight="true" outlineLevel="0" collapsed="false">
      <c r="A15" s="33" t="n">
        <v>10</v>
      </c>
      <c r="B15" s="30"/>
      <c r="C15" s="30"/>
      <c r="D15" s="30"/>
      <c r="E15" s="31"/>
      <c r="F15" s="31"/>
      <c r="G15" s="31"/>
      <c r="H15" s="31"/>
      <c r="I15" s="34" t="str">
        <f aca="false">IF(E15="","",E15*3+F15*2+G15*2+H15*1)</f>
        <v/>
      </c>
      <c r="J15" s="34" t="str">
        <f aca="false">IF(E15="","",IF(OR(E15=1,G15=1),"⛔ REPROVADA",IF(I15&gt;=18,"✅ APROVADA",IF(I15&gt;=12,"⚠️ REVISÃO","⛔ REPROVADA"))))</f>
        <v/>
      </c>
    </row>
    <row r="17" customFormat="false" ht="7.5" hidden="false" customHeight="true" outlineLevel="0" collapsed="false"/>
    <row r="18" customFormat="false" ht="27.75" hidden="false" customHeight="true" outlineLevel="0" collapsed="false">
      <c r="A18" s="16" t="s">
        <v>59</v>
      </c>
      <c r="B18" s="16"/>
      <c r="C18" s="16"/>
      <c r="D18" s="16"/>
      <c r="E18" s="35" t="n">
        <f aca="false">COUNTIF(J6:J15,"✅ APROVADA")</f>
        <v>0</v>
      </c>
      <c r="F18" s="36" t="s">
        <v>60</v>
      </c>
      <c r="G18" s="36"/>
      <c r="H18" s="37" t="n">
        <f aca="false">COUNTIF(J6:J15,"⛔ REPROVADA")</f>
        <v>0</v>
      </c>
      <c r="I18" s="38" t="n">
        <f aca="false">COUNTIF(J6:J15,"⚠️ REVISÃO")</f>
        <v>0</v>
      </c>
      <c r="J18" s="39" t="str">
        <f aca="false">IFERROR(SUMPRODUCT((E6:E15&lt;&gt;"")*1,(E6:E15*3+F6:F15*2+G6:G15*2+H6:H15*1))/COUNTIF(E6:E15,"&lt;&gt;"),"-")</f>
        <v>-</v>
      </c>
    </row>
    <row r="19" customFormat="false" ht="21.75" hidden="false" customHeight="true" outlineLevel="0" collapsed="false">
      <c r="F19" s="40" t="s">
        <v>61</v>
      </c>
      <c r="G19" s="40"/>
      <c r="I19" s="3" t="s">
        <v>62</v>
      </c>
      <c r="J19" s="3"/>
    </row>
  </sheetData>
  <mergeCells count="7">
    <mergeCell ref="A1:J1"/>
    <mergeCell ref="A2:J2"/>
    <mergeCell ref="A3:J3"/>
    <mergeCell ref="A18:D18"/>
    <mergeCell ref="F18:G18"/>
    <mergeCell ref="F19:G19"/>
    <mergeCell ref="I19:J1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28"/>
    <col collapsed="false" customWidth="true" hidden="false" outlineLevel="0" max="3" min="3" style="1" width="42"/>
    <col collapsed="false" customWidth="true" hidden="false" outlineLevel="0" max="4" min="4" style="1" width="20"/>
    <col collapsed="false" customWidth="true" hidden="false" outlineLevel="0" max="8" min="5" style="1" width="10"/>
    <col collapsed="false" customWidth="true" hidden="false" outlineLevel="0" max="9" min="9" style="1" width="12"/>
    <col collapsed="false" customWidth="true" hidden="false" outlineLevel="0" max="10" min="10" style="1" width="16"/>
    <col collapsed="false" customWidth="true" hidden="false" outlineLevel="0" max="11" min="11" style="1" width="55"/>
  </cols>
  <sheetData>
    <row r="1" customFormat="false" ht="30" hidden="false" customHeight="true" outlineLevel="0" collapsed="false">
      <c r="A1" s="2" t="s">
        <v>63</v>
      </c>
      <c r="B1" s="2"/>
      <c r="C1" s="2"/>
      <c r="D1" s="2"/>
      <c r="E1" s="2"/>
      <c r="F1" s="2"/>
      <c r="G1" s="2"/>
      <c r="H1" s="2"/>
      <c r="I1" s="2"/>
      <c r="J1" s="2"/>
    </row>
    <row r="2" customFormat="false" ht="19.5" hidden="false" customHeight="true" outlineLevel="0" collapsed="false">
      <c r="A2" s="27" t="s">
        <v>64</v>
      </c>
      <c r="B2" s="27"/>
      <c r="C2" s="27"/>
      <c r="D2" s="27"/>
      <c r="E2" s="27"/>
      <c r="F2" s="27"/>
      <c r="G2" s="27"/>
      <c r="H2" s="27"/>
      <c r="I2" s="27"/>
      <c r="J2" s="27"/>
    </row>
    <row r="3" customFormat="false" ht="21.75" hidden="false" customHeight="true" outlineLevel="0" collapsed="false">
      <c r="A3" s="28" t="s">
        <v>65</v>
      </c>
      <c r="B3" s="28"/>
      <c r="C3" s="28"/>
      <c r="D3" s="28"/>
      <c r="E3" s="28"/>
      <c r="F3" s="28"/>
      <c r="G3" s="28"/>
      <c r="H3" s="28"/>
      <c r="I3" s="28"/>
      <c r="J3" s="28"/>
    </row>
    <row r="4" customFormat="false" ht="7.5" hidden="false" customHeight="true" outlineLevel="0" collapsed="false"/>
    <row r="5" customFormat="false" ht="49.5" hidden="false" customHeight="true" outlineLevel="0" collapsed="false">
      <c r="A5" s="5" t="s">
        <v>49</v>
      </c>
      <c r="B5" s="5" t="s">
        <v>50</v>
      </c>
      <c r="C5" s="5" t="s">
        <v>51</v>
      </c>
      <c r="D5" s="5" t="s">
        <v>52</v>
      </c>
      <c r="E5" s="5" t="s">
        <v>53</v>
      </c>
      <c r="F5" s="5" t="s">
        <v>54</v>
      </c>
      <c r="G5" s="5" t="s">
        <v>55</v>
      </c>
      <c r="H5" s="5" t="s">
        <v>56</v>
      </c>
      <c r="I5" s="5" t="s">
        <v>57</v>
      </c>
      <c r="J5" s="5" t="s">
        <v>58</v>
      </c>
      <c r="K5" s="5" t="s">
        <v>66</v>
      </c>
    </row>
    <row r="6" customFormat="false" ht="90" hidden="false" customHeight="true" outlineLevel="0" collapsed="false">
      <c r="A6" s="11" t="n">
        <v>1</v>
      </c>
      <c r="B6" s="7" t="s">
        <v>67</v>
      </c>
      <c r="C6" s="7" t="s">
        <v>68</v>
      </c>
      <c r="D6" s="7" t="s">
        <v>69</v>
      </c>
      <c r="E6" s="41" t="n">
        <v>2</v>
      </c>
      <c r="F6" s="42" t="n">
        <v>3</v>
      </c>
      <c r="G6" s="42" t="n">
        <v>3</v>
      </c>
      <c r="H6" s="43" t="n">
        <v>1</v>
      </c>
      <c r="I6" s="44" t="n">
        <v>19</v>
      </c>
      <c r="J6" s="45" t="s">
        <v>70</v>
      </c>
      <c r="K6" s="46" t="s">
        <v>71</v>
      </c>
    </row>
    <row r="7" customFormat="false" ht="90" hidden="false" customHeight="true" outlineLevel="0" collapsed="false">
      <c r="A7" s="15" t="n">
        <v>2</v>
      </c>
      <c r="B7" s="14" t="s">
        <v>72</v>
      </c>
      <c r="C7" s="14" t="s">
        <v>73</v>
      </c>
      <c r="D7" s="14" t="s">
        <v>74</v>
      </c>
      <c r="E7" s="41" t="n">
        <v>2</v>
      </c>
      <c r="F7" s="42" t="n">
        <v>3</v>
      </c>
      <c r="G7" s="41" t="n">
        <v>2</v>
      </c>
      <c r="H7" s="43" t="n">
        <v>1</v>
      </c>
      <c r="I7" s="47" t="n">
        <v>17</v>
      </c>
      <c r="J7" s="45" t="s">
        <v>70</v>
      </c>
      <c r="K7" s="48" t="s">
        <v>75</v>
      </c>
    </row>
    <row r="8" customFormat="false" ht="90" hidden="false" customHeight="true" outlineLevel="0" collapsed="false">
      <c r="A8" s="11" t="n">
        <v>3</v>
      </c>
      <c r="B8" s="7" t="s">
        <v>76</v>
      </c>
      <c r="C8" s="7" t="s">
        <v>77</v>
      </c>
      <c r="D8" s="7" t="s">
        <v>78</v>
      </c>
      <c r="E8" s="43" t="n">
        <v>1</v>
      </c>
      <c r="F8" s="41" t="n">
        <v>2</v>
      </c>
      <c r="G8" s="43" t="n">
        <v>1</v>
      </c>
      <c r="H8" s="43" t="n">
        <v>1</v>
      </c>
      <c r="I8" s="44" t="n">
        <v>10</v>
      </c>
      <c r="J8" s="49" t="s">
        <v>79</v>
      </c>
      <c r="K8" s="46" t="s">
        <v>80</v>
      </c>
    </row>
    <row r="9" customFormat="false" ht="90" hidden="false" customHeight="true" outlineLevel="0" collapsed="false">
      <c r="A9" s="15" t="n">
        <v>4</v>
      </c>
      <c r="B9" s="14" t="s">
        <v>81</v>
      </c>
      <c r="C9" s="14" t="s">
        <v>82</v>
      </c>
      <c r="D9" s="14" t="s">
        <v>69</v>
      </c>
      <c r="E9" s="43" t="n">
        <v>1</v>
      </c>
      <c r="F9" s="41" t="n">
        <v>2</v>
      </c>
      <c r="G9" s="43" t="n">
        <v>1</v>
      </c>
      <c r="H9" s="43" t="n">
        <v>1</v>
      </c>
      <c r="I9" s="47" t="n">
        <v>10</v>
      </c>
      <c r="J9" s="49" t="s">
        <v>79</v>
      </c>
      <c r="K9" s="48" t="s">
        <v>83</v>
      </c>
    </row>
    <row r="10" customFormat="false" ht="90" hidden="false" customHeight="true" outlineLevel="0" collapsed="false">
      <c r="A10" s="11" t="n">
        <v>5</v>
      </c>
      <c r="B10" s="7" t="s">
        <v>84</v>
      </c>
      <c r="C10" s="7" t="s">
        <v>85</v>
      </c>
      <c r="D10" s="7" t="s">
        <v>74</v>
      </c>
      <c r="E10" s="42" t="n">
        <v>3</v>
      </c>
      <c r="F10" s="42" t="n">
        <v>3</v>
      </c>
      <c r="G10" s="42" t="n">
        <v>3</v>
      </c>
      <c r="H10" s="41" t="n">
        <v>2</v>
      </c>
      <c r="I10" s="44" t="n">
        <v>23</v>
      </c>
      <c r="J10" s="45" t="s">
        <v>70</v>
      </c>
      <c r="K10" s="46" t="s">
        <v>86</v>
      </c>
    </row>
    <row r="12" customFormat="false" ht="7.5" hidden="false" customHeight="true" outlineLevel="0" collapsed="false"/>
    <row r="13" customFormat="false" ht="30" hidden="false" customHeight="true" outlineLevel="0" collapsed="false">
      <c r="A13" s="16" t="s">
        <v>87</v>
      </c>
      <c r="B13" s="16"/>
      <c r="C13" s="16"/>
      <c r="D13" s="16"/>
      <c r="E13" s="50" t="s">
        <v>88</v>
      </c>
      <c r="F13" s="51" t="s">
        <v>89</v>
      </c>
      <c r="G13" s="52" t="s">
        <v>90</v>
      </c>
      <c r="H13" s="53" t="s">
        <v>91</v>
      </c>
      <c r="I13" s="53" t="s">
        <v>92</v>
      </c>
    </row>
    <row r="14" customFormat="false" ht="21.75" hidden="false" customHeight="true" outlineLevel="0" collapsed="false">
      <c r="A14" s="54" t="s">
        <v>93</v>
      </c>
      <c r="B14" s="54"/>
      <c r="C14" s="54"/>
      <c r="D14" s="54"/>
      <c r="E14" s="55" t="s">
        <v>60</v>
      </c>
      <c r="F14" s="56" t="s">
        <v>61</v>
      </c>
      <c r="G14" s="57" t="s">
        <v>94</v>
      </c>
    </row>
  </sheetData>
  <mergeCells count="5">
    <mergeCell ref="A1:J1"/>
    <mergeCell ref="A2:J2"/>
    <mergeCell ref="A3:J3"/>
    <mergeCell ref="A13:D13"/>
    <mergeCell ref="A14:D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2026-06-03T22:09:57Z</dcterms:created>
  <dc:creator>openpyxl</dc:creator>
  <dc:description/>
  <dc:language>en-US</dc:language>
  <cp:lastModifiedBy/>
  <dcterms:modified xsi:type="dcterms:W3CDTF">2026-06-03T22:10:13Z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