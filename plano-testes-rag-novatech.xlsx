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🗄 Ingestão" sheetId="2" state="visible" r:id="rId4"/>
    <sheet name="🔍 Retrieval" sheetId="3" state="visible" r:id="rId5"/>
    <sheet name="🤖 Geração" sheetId="4" state="visible" r:id="rId6"/>
    <sheet name="🧠 Contexto" sheetId="5" state="visible" r:id="rId7"/>
    <sheet name="🔗 E2E" sheetId="6" state="visible" r:id="rId8"/>
    <sheet name="🔁 Regressão" sheetId="7" state="visible" r:id="rId9"/>
    <sheet name="⚠ Armadilhas" sheetId="8" state="visible" r:id="rId10"/>
    <sheet name="📋 Rubrica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<sst xmlns="http://schemas.openxmlformats.org/spreadsheetml/2006/main" count="506" uniqueCount="286">
  <si>
    <t xml:space="preserve">PLANO DE TESTES — PIPELINE RAG NOVATECH</t>
  </si>
  <si>
    <t xml:space="preserve">QA Sênior · Exercício 1.3 · Versão 1.0 · 03/06/2026</t>
  </si>
  <si>
    <t xml:space="preserve">RESUMO EXECUTIVO</t>
  </si>
  <si>
    <t xml:space="preserve">Categoria</t>
  </si>
  <si>
    <t xml:space="preserve">Total Casos</t>
  </si>
  <si>
    <t xml:space="preserve">Pendente</t>
  </si>
  <si>
    <t xml:space="preserve">Em Andamento</t>
  </si>
  <si>
    <t xml:space="preserve">Aprovado</t>
  </si>
  <si>
    <t xml:space="preserve">Falhou</t>
  </si>
  <si>
    <t xml:space="preserve">Bloqueado</t>
  </si>
  <si>
    <t xml:space="preserve">% Concluído</t>
  </si>
  <si>
    <t xml:space="preserve">🗄 Ingestão</t>
  </si>
  <si>
    <t xml:space="preserve">🔍 Retrieval</t>
  </si>
  <si>
    <t xml:space="preserve">🤖 Geração</t>
  </si>
  <si>
    <t xml:space="preserve">🧠 Contexto</t>
  </si>
  <si>
    <t xml:space="preserve">🔗 Ponta a Ponta</t>
  </si>
  <si>
    <t xml:space="preserve">🔁 Regressão</t>
  </si>
  <si>
    <t xml:space="preserve">TOTAL</t>
  </si>
  <si>
    <t xml:space="preserve">⚠ Atualize manualmente as colunas Pendente / Em Andamento / Aprovado / Falhou / Bloqueado em cada aba de categoria, depois atualize os valores aqui.</t>
  </si>
  <si>
    <t xml:space="preserve">LEGENDA DE STATUS</t>
  </si>
  <si>
    <t xml:space="preserve">TESTES DE INGESTÃO</t>
  </si>
  <si>
    <t xml:space="preserve">Verificam extração, conversão e indexação dos documentos-fonte no Azure AI Search</t>
  </si>
  <si>
    <t xml:space="preserve">ID</t>
  </si>
  <si>
    <t xml:space="preserve">Descrição</t>
  </si>
  <si>
    <t xml:space="preserve">Critério de Aceite</t>
  </si>
  <si>
    <t xml:space="preserve">Fonte Documental</t>
  </si>
  <si>
    <t xml:space="preserve">Prioridade</t>
  </si>
  <si>
    <t xml:space="preserve">Responsável</t>
  </si>
  <si>
    <t xml:space="preserve">Status</t>
  </si>
  <si>
    <t xml:space="preserve">Evidência (link/screenshot)</t>
  </si>
  <si>
    <t xml:space="preserve">Observações</t>
  </si>
  <si>
    <t xml:space="preserve">Data Execução</t>
  </si>
  <si>
    <t xml:space="preserve">ING-001</t>
  </si>
  <si>
    <t xml:space="preserve">Extração de PDF com tabela complexa</t>
  </si>
  <si>
    <t xml:space="preserve">Texto extraído contém '7 dias úteis' e estrutura tabular preservada</t>
  </si>
  <si>
    <t xml:space="preserve">POL-001 §3.1</t>
  </si>
  <si>
    <t xml:space="preserve">Alta</t>
  </si>
  <si>
    <t xml:space="preserve">Dev / Tech Lead</t>
  </si>
  <si>
    <t xml:space="preserve">ING-002</t>
  </si>
  <si>
    <t xml:space="preserve">Extração de documentos com versões conflitantes</t>
  </si>
  <si>
    <t xml:space="preserve">PROC-042-v1 e v2 indexados; metadados incluem versao, data_emissao, status</t>
  </si>
  <si>
    <t xml:space="preserve">PROC-042 v1+v2</t>
  </si>
  <si>
    <t xml:space="preserve">ING-003</t>
  </si>
  <si>
    <t xml:space="preserve">Extração de documento informal sem responsável formal</t>
  </si>
  <si>
    <t xml:space="preserve">Indexado com metadado classificacao:informal e validado_compliance:false</t>
  </si>
  <si>
    <t xml:space="preserve">FAQ-Atendimento</t>
  </si>
  <si>
    <t xml:space="preserve">Dev / QA</t>
  </si>
  <si>
    <t xml:space="preserve">ING-004</t>
  </si>
  <si>
    <t xml:space="preserve">Contagem de chunks gerados vs. esperados</t>
  </si>
  <si>
    <t xml:space="preserve">Número de chunks no índice corresponde ao esperado pela estratégia de chunking</t>
  </si>
  <si>
    <t xml:space="preserve">Base completa</t>
  </si>
  <si>
    <t xml:space="preserve">Média</t>
  </si>
  <si>
    <t xml:space="preserve">Dev</t>
  </si>
  <si>
    <t xml:space="preserve">ING-005</t>
  </si>
  <si>
    <t xml:space="preserve">Preservação de metadados em todos os chunks</t>
  </si>
  <si>
    <t xml:space="preserve">Cada chunk carrega: doc_id, titulo, versao, data_atualizacao, classificacao</t>
  </si>
  <si>
    <t xml:space="preserve">Todos os docs</t>
  </si>
  <si>
    <t xml:space="preserve">ING-006</t>
  </si>
  <si>
    <t xml:space="preserve">Atualização incremental — novo documento publicado</t>
  </si>
  <si>
    <t xml:space="preserve">Chunk atualizado disponível no índice em no máximo 24h após publicação</t>
  </si>
  <si>
    <t xml:space="preserve">POL-001 v3.1</t>
  </si>
  <si>
    <t xml:space="preserve">ING-007</t>
  </si>
  <si>
    <t xml:space="preserve">Exclusão de documento obsoleto — chunks removidos</t>
  </si>
  <si>
    <t xml:space="preserve">Chunks da versão arquivada não retornados em buscas após exclusão</t>
  </si>
  <si>
    <t xml:space="preserve">PROC-042-v1 (obsoleto)</t>
  </si>
  <si>
    <t xml:space="preserve">ING-008</t>
  </si>
  <si>
    <t xml:space="preserve">Integridade de texto em documento OCR escaneado</t>
  </si>
  <si>
    <t xml:space="preserve">Texto legível, sem ruído que distorça termos críticos: SLA, CT-e, ANTT</t>
  </si>
  <si>
    <t xml:space="preserve">PDF escaneado</t>
  </si>
  <si>
    <t xml:space="preserve">TESTES DE RETRIEVAL</t>
  </si>
  <si>
    <t xml:space="preserve">Verificam se a busca por similaridade recupera os chunks corretos (e descarta os incorretos)</t>
  </si>
  <si>
    <t xml:space="preserve">RET-001</t>
  </si>
  <si>
    <t xml:space="preserve">Prazo de devolução de mercadorias</t>
  </si>
  <si>
    <t xml:space="preserve">Recupera POL-001-A e POL-001-B; score ≥ 0.80</t>
  </si>
  <si>
    <t xml:space="preserve">POL-001 §3.1/§3.2</t>
  </si>
  <si>
    <t xml:space="preserve">QA</t>
  </si>
  <si>
    <t xml:space="preserve">RET-002</t>
  </si>
  <si>
    <t xml:space="preserve">Devolução de carga perigosa</t>
  </si>
  <si>
    <t xml:space="preserve">Recupera POL-001-B; FAQ-03 não pode ser único resultado; score ≥ 0.80</t>
  </si>
  <si>
    <t xml:space="preserve">POL-001 §3.2</t>
  </si>
  <si>
    <t xml:space="preserve">RET-003</t>
  </si>
  <si>
    <t xml:space="preserve">SLA do cliente Gold</t>
  </si>
  <si>
    <t xml:space="preserve">Recupera SLA-2024-B; score ≥ 0.80</t>
  </si>
  <si>
    <t xml:space="preserve">SLA-2024 §2</t>
  </si>
  <si>
    <t xml:space="preserve">RET-004</t>
  </si>
  <si>
    <t xml:space="preserve">SLA do cliente Platinum (tier inexistente)</t>
  </si>
  <si>
    <t xml:space="preserve">Recupera SLA-2024-A (contém negação explícita); score ≥ 0.75</t>
  </si>
  <si>
    <t xml:space="preserve">SLA-2024 §1</t>
  </si>
  <si>
    <t xml:space="preserve">RET-005</t>
  </si>
  <si>
    <t xml:space="preserve">Frete especial 600kg para Manaus (Norte)</t>
  </si>
  <si>
    <t xml:space="preserve">Recupera PROC-042v2-A e v2-B; PROIBIDO retornar v1 no Top-1; score ≥ 0.80</t>
  </si>
  <si>
    <t xml:space="preserve">PROC-042-v2 §2</t>
  </si>
  <si>
    <t xml:space="preserve">RET-006</t>
  </si>
  <si>
    <t xml:space="preserve">Frete padrão 300kg para Salvador (gap de cobertura)</t>
  </si>
  <si>
    <t xml:space="preserve">Nenhum chunk retornado com score alto; sistema sinaliza ausência</t>
  </si>
  <si>
    <t xml:space="preserve">Sem cobertura</t>
  </si>
  <si>
    <t xml:space="preserve">RET-007</t>
  </si>
  <si>
    <t xml:space="preserve">Carga danificada em trânsito</t>
  </si>
  <si>
    <t xml:space="preserve">Recupera FAQ-38; metadado classificacao:informal presente; score ≥ 0.70</t>
  </si>
  <si>
    <t xml:space="preserve">FAQ §38</t>
  </si>
  <si>
    <t xml:space="preserve">RET-008</t>
  </si>
  <si>
    <t xml:space="preserve">Carga perigosa com frete expresso</t>
  </si>
  <si>
    <t xml:space="preserve">Recupera FAQ-32; PROC não aparece como fonte autoritativa; score ≥ 0.70</t>
  </si>
  <si>
    <t xml:space="preserve">FAQ §32</t>
  </si>
  <si>
    <t xml:space="preserve">RET-009</t>
  </si>
  <si>
    <t xml:space="preserve">Multiplicador regional Sudeste</t>
  </si>
  <si>
    <t xml:space="preserve">Recupera PROC-042v2-B (1.1); PROIBIDO PROC-042-B v1 (1.0) no Top-1</t>
  </si>
  <si>
    <t xml:space="preserve">PROC-042-v2 §2.1</t>
  </si>
  <si>
    <t xml:space="preserve">RET-010</t>
  </si>
  <si>
    <t xml:space="preserve">Pergunta multi-domínio: devolução + carga perigosa + frete</t>
  </si>
  <si>
    <t xml:space="preserve">Recupera POL-001-A, POL-001-B, PROC-042v2-A, PROC-042v2-B; todos ≥ 0.75</t>
  </si>
  <si>
    <t xml:space="preserve">POL-001 + PROC-042-v2</t>
  </si>
  <si>
    <t xml:space="preserve">RET-ARM-001</t>
  </si>
  <si>
    <t xml:space="preserve">Armadilha: PROC-042 retorna chunks das duas versões</t>
  </si>
  <si>
    <t xml:space="preserve">Metadado versao presente; v2 aparece antes de v1 no ranking</t>
  </si>
  <si>
    <t xml:space="preserve">QA / Dev</t>
  </si>
  <si>
    <t xml:space="preserve">RET-ARM-002</t>
  </si>
  <si>
    <t xml:space="preserve">Armadilha: pergunta sobre tier Platinum confirma negação</t>
  </si>
  <si>
    <t xml:space="preserve">SLA-2024-A retornado; nenhum chunk afirma existência do tier</t>
  </si>
  <si>
    <t xml:space="preserve">RET-ARM-003</t>
  </si>
  <si>
    <t xml:space="preserve">Armadilha: frete &lt; 500kg retorna score baixo (gap)</t>
  </si>
  <si>
    <t xml:space="preserve">Score abaixo de 0.60; sistema não retorna PROC-042 como relevante</t>
  </si>
  <si>
    <t xml:space="preserve">RET-ARM-004</t>
  </si>
  <si>
    <t xml:space="preserve">Armadilha: seguro de carga retorna fonte informal</t>
  </si>
  <si>
    <t xml:space="preserve">FAQ-22 retornado com metadado classificacao:informal</t>
  </si>
  <si>
    <t xml:space="preserve">FAQ §22</t>
  </si>
  <si>
    <t xml:space="preserve">TESTES DE GERAÇÃO</t>
  </si>
  <si>
    <t xml:space="preserve">Verificam se o LLM produz respostas corretas dados os chunks recuperados</t>
  </si>
  <si>
    <t xml:space="preserve">GER-001</t>
  </si>
  <si>
    <t xml:space="preserve">Devolução de carga perigosa — NÃO pode pelo processo padrão</t>
  </si>
  <si>
    <t xml:space="preserve">Resposta afirma que NÃO pode; orienta ramal 4500; não inverte a exceção</t>
  </si>
  <si>
    <t xml:space="preserve">QA / PS</t>
  </si>
  <si>
    <t xml:space="preserve">GER-002</t>
  </si>
  <si>
    <t xml:space="preserve">SLA de cliente Platinum — tier não existe</t>
  </si>
  <si>
    <t xml:space="preserve">Afirma que Platinum não existe; lista os 3 tiers corretos; não inventa SLA</t>
  </si>
  <si>
    <t xml:space="preserve">GER-003</t>
  </si>
  <si>
    <t xml:space="preserve">Multiplicador Nordeste — chunks de v1 e v2 presentes</t>
  </si>
  <si>
    <t xml:space="preserve">Usa v2 (1.5); menciona conflito com v1 (1.4); não mistura valores sem aviso</t>
  </si>
  <si>
    <t xml:space="preserve">PROC-042 v1+v2 §2.1</t>
  </si>
  <si>
    <t xml:space="preserve">GER-004</t>
  </si>
  <si>
    <t xml:space="preserve">Prazo de frete para 300kg — sem cobertura</t>
  </si>
  <si>
    <t xml:space="preserve">Informa explicitamente que não encontrou informação; sugere escalar; não inventa prazo</t>
  </si>
  <si>
    <t xml:space="preserve">GER-005</t>
  </si>
  <si>
    <t xml:space="preserve">Carga danificada — fonte informal FAQ</t>
  </si>
  <si>
    <t xml:space="preserve">Responde com base no FAQ; sinaliza fonte informal; menciona sinistros@novatech.com.br</t>
  </si>
  <si>
    <t xml:space="preserve">GER-006</t>
  </si>
  <si>
    <t xml:space="preserve">Procedimento de abertura de chamado de devolução</t>
  </si>
  <si>
    <t xml:space="preserve">Descreve passo a passo da §3.3; cita portal.novatech.com.br; não inventa URLs</t>
  </si>
  <si>
    <t xml:space="preserve">POL-001 §3.3</t>
  </si>
  <si>
    <t xml:space="preserve">GER-007</t>
  </si>
  <si>
    <t xml:space="preserve">SLA Gold para incidente crítico</t>
  </si>
  <si>
    <t xml:space="preserve">Resposta em 30min, resolução em 4h; não confunde com SLA geral</t>
  </si>
  <si>
    <t xml:space="preserve">SLA-2024 §2 (críticos)</t>
  </si>
  <si>
    <t xml:space="preserve">TESTES DE CONTEXTO</t>
  </si>
  <si>
    <t xml:space="preserve">Verificam orçamento de tokens, lost-in-the-middle, context rot e overflow</t>
  </si>
  <si>
    <t xml:space="preserve">CTX-001</t>
  </si>
  <si>
    <t xml:space="preserve">Orçamento de contexto — tamanho total do prompt</t>
  </si>
  <si>
    <t xml:space="preserve">Total tokens (system + chunks + histórico) ≤ orçamento definido no ADR</t>
  </si>
  <si>
    <t xml:space="preserve">Arquitetura</t>
  </si>
  <si>
    <t xml:space="preserve">CTX-002</t>
  </si>
  <si>
    <t xml:space="preserve">Lost in the Middle — chunk crítico posicionado no centro</t>
  </si>
  <si>
    <t xml:space="preserve">Resposta ainda reflete corretamente o chunk da posição 3/5</t>
  </si>
  <si>
    <t xml:space="preserve">CTX-003</t>
  </si>
  <si>
    <t xml:space="preserve">Context Rot — sessão com 20 perguntas consecutivas</t>
  </si>
  <si>
    <t xml:space="preserve">Resposta da 20ª pergunta mantém guardrails e cita fonte</t>
  </si>
  <si>
    <t xml:space="preserve">CTX-004</t>
  </si>
  <si>
    <t xml:space="preserve">Context Rot — guardrail 'nunca inventar prazo' após 15 turnos</t>
  </si>
  <si>
    <t xml:space="preserve">Resposta após 15 turnos ainda respeita o guardrail</t>
  </si>
  <si>
    <t xml:space="preserve">System Prompt</t>
  </si>
  <si>
    <t xml:space="preserve">CTX-005</t>
  </si>
  <si>
    <t xml:space="preserve">Chunk errado contamina resposta — v1 injetada junto com v2</t>
  </si>
  <si>
    <t xml:space="preserve">Resposta usa valores da v2; menciona o conflito; não usa v1 silenciosamente</t>
  </si>
  <si>
    <t xml:space="preserve">CTX-006</t>
  </si>
  <si>
    <t xml:space="preserve">Context Overflow — sessão com 50+ turnos</t>
  </si>
  <si>
    <t xml:space="preserve">Sistema trunca ou reinicia contexto com aviso ao usuário; sem distorção silenciosa</t>
  </si>
  <si>
    <t xml:space="preserve">CTX-007</t>
  </si>
  <si>
    <t xml:space="preserve">Pergunta multi-domínio — contexto dividido em 3 domínios</t>
  </si>
  <si>
    <t xml:space="preserve">Chunks de POL-001, PROC-042v2 e SLA-2024 todos recuperados e usados</t>
  </si>
  <si>
    <t xml:space="preserve">POL-001 + PROC-042-v2 + SLA-2024</t>
  </si>
  <si>
    <t xml:space="preserve">TESTES DE PONTA A PONTA</t>
  </si>
  <si>
    <t xml:space="preserve">Jornadas completas do atendente: pergunta → retrieval → geração → resposta com fonte</t>
  </si>
  <si>
    <t xml:space="preserve">E2E-001</t>
  </si>
  <si>
    <t xml:space="preserve">Atendente consulta prazo de devolução (cenário padrão)</t>
  </si>
  <si>
    <t xml:space="preserve">'7 dias úteis (POL-001, §3.1), exceto cargas perigosas (§3.2)'</t>
  </si>
  <si>
    <t xml:space="preserve">E2E-002</t>
  </si>
  <si>
    <t xml:space="preserve">Atendente consulta SLA de tier inexistente (Platinum)</t>
  </si>
  <si>
    <t xml:space="preserve">'Tier Platinum não existe. Tiers: Gold, Silver, Standard (SLA-2024, §1)'</t>
  </si>
  <si>
    <t xml:space="preserve">E2E-003</t>
  </si>
  <si>
    <t xml:space="preserve">Atendente consulta frete especial para Manaus (600kg)</t>
  </si>
  <si>
    <t xml:space="preserve">'Multiplicador Norte: 1.8 × valor base × fator 1.0 (PROC-042-v2)' — não usa 1.6 da v1</t>
  </si>
  <si>
    <t xml:space="preserve">E2E-004</t>
  </si>
  <si>
    <t xml:space="preserve">Atendente consulta informação sem cobertura (200kg)</t>
  </si>
  <si>
    <t xml:space="preserve">'Não encontrei informação. Recomendo escalar para o supervisor.'</t>
  </si>
  <si>
    <t xml:space="preserve">E2E-005</t>
  </si>
  <si>
    <t xml:space="preserve">Atendente consulta carga danificada</t>
  </si>
  <si>
    <t xml:space="preserve">Orienta 48h + fotos + sinistros@novatech.com.br; sinaliza fonte FAQ informal</t>
  </si>
  <si>
    <t xml:space="preserve">E2E-006</t>
  </si>
  <si>
    <t xml:space="preserve">5 perguntas sequenciais — contextos independentes</t>
  </si>
  <si>
    <t xml:space="preserve">Cada resposta é independente; sem mescla de contexto entre perguntas</t>
  </si>
  <si>
    <t xml:space="preserve">E2E-007</t>
  </si>
  <si>
    <t xml:space="preserve">Incidente crítico — carga Gold R$150mil parada 8h</t>
  </si>
  <si>
    <t xml:space="preserve">Identifica incidente crítico (SLA-2024-D); SLA Gold: resposta 30min; orienta escalada</t>
  </si>
  <si>
    <t xml:space="preserve">SLA-2024 §2/§3</t>
  </si>
  <si>
    <t xml:space="preserve">TESTES DE REGRESSÃO</t>
  </si>
  <si>
    <t xml:space="preserve">Gatilhos automáticos que rodam quando o sistema muda — prompts, documentos ou modelo</t>
  </si>
  <si>
    <t xml:space="preserve">REG-001</t>
  </si>
  <si>
    <t xml:space="preserve">Alteração no system prompt → rodar E2E e GER completos</t>
  </si>
  <si>
    <t xml:space="preserve">Score geral não cai mais de 10pp vs baseline anterior</t>
  </si>
  <si>
    <t xml:space="preserve">REG-002</t>
  </si>
  <si>
    <t xml:space="preserve">Publicação de novo documento → rodar RET e ING completos</t>
  </si>
  <si>
    <t xml:space="preserve">Novo documento indexado; mapa de cobertura atualizado</t>
  </si>
  <si>
    <t xml:space="preserve">Documentos</t>
  </si>
  <si>
    <t xml:space="preserve">REG-003</t>
  </si>
  <si>
    <t xml:space="preserve">Atualização de versão de documento → RET-ARM-001 e GER-003</t>
  </si>
  <si>
    <t xml:space="preserve">Versão nova no Top-1; multiplicadores corretos utilizados</t>
  </si>
  <si>
    <t xml:space="preserve">PROC-042 v2</t>
  </si>
  <si>
    <t xml:space="preserve">REG-004</t>
  </si>
  <si>
    <t xml:space="preserve">Alteração na estratégia de chunking → re-validar RET completo</t>
  </si>
  <si>
    <t xml:space="preserve">Mapa de cobertura validado com ≥ 80% de precisão@3</t>
  </si>
  <si>
    <t xml:space="preserve">Pipeline</t>
  </si>
  <si>
    <t xml:space="preserve">REG-005</t>
  </si>
  <si>
    <t xml:space="preserve">Nova versão do modelo LLM → rodar suite completa</t>
  </si>
  <si>
    <t xml:space="preserve">Todos os critérios de aceite mantidos; sem regressão em GER-001/002/004</t>
  </si>
  <si>
    <t xml:space="preserve">Modelo</t>
  </si>
  <si>
    <t xml:space="preserve">QA / Tech Lead</t>
  </si>
  <si>
    <t xml:space="preserve">REG-006</t>
  </si>
  <si>
    <t xml:space="preserve">Baseline inicial — registrar scores antes de cada release</t>
  </si>
  <si>
    <t xml:space="preserve">Baseline documentado; delta calculado em cada regressão subsequente</t>
  </si>
  <si>
    <t xml:space="preserve">Processo QA</t>
  </si>
  <si>
    <t xml:space="preserve">ARMADILHAS CONHECIDAS</t>
  </si>
  <si>
    <t xml:space="preserve">Situações propositalmente desafiadoras para testar robustez contra falhas sutis. Cobertas pelos casos formais.</t>
  </si>
  <si>
    <t xml:space="preserve">Risco</t>
  </si>
  <si>
    <t xml:space="preserve">Descrição do Cenário</t>
  </si>
  <si>
    <t xml:space="preserve">Mitigação</t>
  </si>
  <si>
    <t xml:space="preserve">Caso de Teste Formal</t>
  </si>
  <si>
    <t xml:space="preserve">ARM-001</t>
  </si>
  <si>
    <t xml:space="preserve">Mistura de multiplicadores de versões diferentes</t>
  </si>
  <si>
    <t xml:space="preserve">Pipeline retorna chunks de PROC-042-v1 e v2 para a mesma pergunta</t>
  </si>
  <si>
    <t xml:space="preserve">Verificar se metadado versao está presente e se v2 aparece antes de v1 no ranking</t>
  </si>
  <si>
    <t xml:space="preserve">RET-ARM-001 / GER-003</t>
  </si>
  <si>
    <t xml:space="preserve">ARM-002</t>
  </si>
  <si>
    <t xml:space="preserve">Alucinação de tier inexistente</t>
  </si>
  <si>
    <t xml:space="preserve">Assistente inventa SLA para 'cliente Platinum'</t>
  </si>
  <si>
    <t xml:space="preserve">SLA-2024-A deve ser recuperado; resposta deve conter negação explícita do tier</t>
  </si>
  <si>
    <t xml:space="preserve">RET-ARM-002 / GER-002</t>
  </si>
  <si>
    <t xml:space="preserve">ARM-003</t>
  </si>
  <si>
    <t xml:space="preserve">Gap de cobertura não sinalizado</t>
  </si>
  <si>
    <t xml:space="preserve">Pergunta sobre frete &lt; 500kg sem documento — assistente inventa prazo</t>
  </si>
  <si>
    <t xml:space="preserve">Score baixo; sistema deve sinalizar ausência e orientar escalar</t>
  </si>
  <si>
    <t xml:space="preserve">RET-ARM-003 / GER-004</t>
  </si>
  <si>
    <t xml:space="preserve">ARM-004</t>
  </si>
  <si>
    <t xml:space="preserve">Inversão de regra na interpretação de exceção</t>
  </si>
  <si>
    <t xml:space="preserve">Lê 'exceto cargas perigosas' e gera 'cargas perigosas podem ser devolvidas'</t>
  </si>
  <si>
    <t xml:space="preserve">GER-001 cobre esse caso; resposta correta é negação inequívoca</t>
  </si>
  <si>
    <t xml:space="preserve">GER-001 / E2E-001</t>
  </si>
  <si>
    <t xml:space="preserve">ARM-005</t>
  </si>
  <si>
    <t xml:space="preserve">FAQ informal tratado como fonte oficial</t>
  </si>
  <si>
    <t xml:space="preserve">Assistente responde com FAQ-38 ou FAQ-32 sem ressalva de informalidade</t>
  </si>
  <si>
    <t xml:space="preserve">Metadado classificacao:informal deve ser usado para sinalizar ao usuário</t>
  </si>
  <si>
    <t xml:space="preserve">RET-007 / GER-005</t>
  </si>
  <si>
    <t xml:space="preserve">RUBRICA DE AVALIAÇÃO DE RESPOSTAS</t>
  </si>
  <si>
    <t xml:space="preserve">Como avaliar a qualidade de cada resposta (não-determinístico — graus de qualidade, não pass/fail binário)</t>
  </si>
  <si>
    <t xml:space="preserve">⚡ Score mínimo para aprovação: Nível 2 em todas as dimensões; Nível 3 OBRIGATÓRIO em Precisão Factual e Tratamento de Incerteza</t>
  </si>
  <si>
    <t xml:space="preserve">Dimensão</t>
  </si>
  <si>
    <t xml:space="preserve">Nível 1 — Insuficiente</t>
  </si>
  <si>
    <t xml:space="preserve">Nível 2 — Parcial</t>
  </si>
  <si>
    <t xml:space="preserve">Nível 3 — Completo</t>
  </si>
  <si>
    <t xml:space="preserve">Obrigatório N3?</t>
  </si>
  <si>
    <t xml:space="preserve">Precisão Factual</t>
  </si>
  <si>
    <t xml:space="preserve">Informação incorreta ou inventada (ex: multiplicador errado, tier que não existe)</t>
  </si>
  <si>
    <t xml:space="preserve">Informação correta mas incompleta (ex: diz o prazo geral, omite a exceção de carga perigosa)</t>
  </si>
  <si>
    <t xml:space="preserve">Informação correta e completa, incluindo exceções e ressalvas documentadas</t>
  </si>
  <si>
    <t xml:space="preserve">✅ SIM</t>
  </si>
  <si>
    <t xml:space="preserve">Citação de Fonte</t>
  </si>
  <si>
    <t xml:space="preserve">Sem citação ou cita documento inexistente</t>
  </si>
  <si>
    <t xml:space="preserve">Cita o documento correto mas não informa a seção específica</t>
  </si>
  <si>
    <t xml:space="preserve">Cita documento e seção (ex: 'POL-001, §3.2')</t>
  </si>
  <si>
    <t xml:space="preserve">Não</t>
  </si>
  <si>
    <t xml:space="preserve">Aderência a Guardrails</t>
  </si>
  <si>
    <t xml:space="preserve">Viola ao menos um guardrail: inventa valor, responde em idioma errado, não sinaliza fonte informal</t>
  </si>
  <si>
    <t xml:space="preserve">Segue guardrails principais mas omite sinalizações (ex: não avisa que FAQ é informal)</t>
  </si>
  <si>
    <t xml:space="preserve">Segue todos os guardrails, inclusive sinalizar fonte informal e orientar próximo passo</t>
  </si>
  <si>
    <t xml:space="preserve">Tratamento de Incerteza</t>
  </si>
  <si>
    <t xml:space="preserve">Inventa resposta quando não há cobertura na base (alucinação por gap)</t>
  </si>
  <si>
    <t xml:space="preserve">Diz 'não encontrei' mas não orienta o atendente sobre o próximo passo</t>
  </si>
  <si>
    <t xml:space="preserve">Informa ausência de dado E sugere ação concreta (escalar, ramal, e-mail)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</si>
</sst>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D4ED8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9CA3AF"/>
      <name val="Arial"/>
      <family val="0"/>
      <charset val="1"/>
    </font>
    <font>
      <b val="true"/>
      <sz val="9"/>
      <color rgb="FF374151"/>
      <name val="Arial"/>
      <family val="0"/>
      <charset val="1"/>
    </font>
    <font>
      <b val="true"/>
      <sz val="9"/>
      <color rgb="FF92400E"/>
      <name val="Arial"/>
      <family val="0"/>
      <charset val="1"/>
    </font>
    <font>
      <b val="true"/>
      <sz val="9"/>
      <color rgb="FF065F46"/>
      <name val="Arial"/>
      <family val="0"/>
      <charset val="1"/>
    </font>
    <font>
      <b val="true"/>
      <sz val="9"/>
      <color rgb="FF991B1B"/>
      <name val="Arial"/>
      <family val="0"/>
      <charset val="1"/>
    </font>
    <font>
      <b val="true"/>
      <sz val="9"/>
      <color rgb="FF5B21B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EFF6FF"/>
        <bgColor rgb="FFF0F9FF"/>
      </patternFill>
    </fill>
    <fill>
      <patternFill patternType="solid">
        <fgColor rgb="FF1E3A5F"/>
        <bgColor rgb="FF374151"/>
      </patternFill>
    </fill>
    <fill>
      <patternFill patternType="solid">
        <fgColor rgb="FF1C2030"/>
        <bgColor rgb="FF1E3A5F"/>
      </patternFill>
    </fill>
    <fill>
      <patternFill patternType="solid">
        <fgColor rgb="FFF8FAFC"/>
        <bgColor rgb="FFF9FAFB"/>
      </patternFill>
    </fill>
    <fill>
      <patternFill patternType="solid">
        <fgColor rgb="FFF0F9FF"/>
        <bgColor rgb="FFEFF6FF"/>
      </patternFill>
    </fill>
    <fill>
      <patternFill patternType="solid">
        <fgColor rgb="FF374151"/>
        <bgColor rgb="FF1E3A5F"/>
      </patternFill>
    </fill>
    <fill>
      <patternFill patternType="solid">
        <fgColor rgb="FFF3F4F6"/>
        <bgColor rgb="FFEFF6FF"/>
      </patternFill>
    </fill>
    <fill>
      <patternFill patternType="solid">
        <fgColor rgb="FFFEF3C7"/>
        <bgColor rgb="FFFFF7ED"/>
      </patternFill>
    </fill>
    <fill>
      <patternFill patternType="solid">
        <fgColor rgb="FFD1FAE5"/>
        <bgColor rgb="FFF0FDF4"/>
      </patternFill>
    </fill>
    <fill>
      <patternFill patternType="solid">
        <fgColor rgb="FFFEE2E2"/>
        <bgColor rgb="FFEDE9FE"/>
      </patternFill>
    </fill>
    <fill>
      <patternFill patternType="solid">
        <fgColor rgb="FFEDE9FE"/>
        <bgColor rgb="FFF3F4F6"/>
      </patternFill>
    </fill>
    <fill>
      <patternFill patternType="solid">
        <fgColor rgb="FFF9FAFB"/>
        <bgColor rgb="FFF8FAFC"/>
      </patternFill>
    </fill>
    <fill>
      <patternFill patternType="solid">
        <fgColor rgb="FFFFFFFF"/>
        <bgColor rgb="FFF9FAFB"/>
      </patternFill>
    </fill>
    <fill>
      <patternFill patternType="solid">
        <fgColor rgb="FFEF4444"/>
        <bgColor rgb="FF993366"/>
      </patternFill>
    </fill>
    <fill>
      <patternFill patternType="solid">
        <fgColor rgb="FFF59E0B"/>
        <bgColor rgb="FFFF8080"/>
      </patternFill>
    </fill>
    <fill>
      <patternFill patternType="solid">
        <fgColor rgb="FF7F1D1D"/>
        <bgColor rgb="FF991B1B"/>
      </patternFill>
    </fill>
    <fill>
      <patternFill patternType="solid">
        <fgColor rgb="FFFFF5F5"/>
        <bgColor rgb="FFFFF7ED"/>
      </patternFill>
    </fill>
    <fill>
      <patternFill patternType="solid">
        <fgColor rgb="FFF0FDF4"/>
        <bgColor rgb="FFF0F9FF"/>
      </patternFill>
    </fill>
    <fill>
      <patternFill patternType="solid">
        <fgColor rgb="FFFAF5FF"/>
        <bgColor rgb="FFF9FAFB"/>
      </patternFill>
    </fill>
    <fill>
      <patternFill patternType="solid">
        <fgColor rgb="FFFFF7ED"/>
        <bgColor rgb="FFFF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3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9" fillId="1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8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9" fillId="1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2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21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5F5"/>
      <rgbColor rgb="FFFF00FF"/>
      <rgbColor rgb="FF00FFFF"/>
      <rgbColor rgb="FF7F1D1D"/>
      <rgbColor rgb="FF008000"/>
      <rgbColor rgb="FF000080"/>
      <rgbColor rgb="FF808000"/>
      <rgbColor rgb="FF800080"/>
      <rgbColor rgb="FF065F46"/>
      <rgbColor rgb="FFEDE9FE"/>
      <rgbColor rgb="FF808080"/>
      <rgbColor rgb="FF9999FF"/>
      <rgbColor rgb="FF993366"/>
      <rgbColor rgb="FFFEF3C7"/>
      <rgbColor rgb="FFF0FDF4"/>
      <rgbColor rgb="FF660066"/>
      <rgbColor rgb="FFFF8080"/>
      <rgbColor rgb="FF1D4ED8"/>
      <rgbColor rgb="FFD1D5DB"/>
      <rgbColor rgb="FF000080"/>
      <rgbColor rgb="FFFF00FF"/>
      <rgbColor rgb="FFF9FAFB"/>
      <rgbColor rgb="FF00FFFF"/>
      <rgbColor rgb="FF800080"/>
      <rgbColor rgb="FF991B1B"/>
      <rgbColor rgb="FF008080"/>
      <rgbColor rgb="FF0000FF"/>
      <rgbColor rgb="FF00CCFF"/>
      <rgbColor rgb="FFF0F9FF"/>
      <rgbColor rgb="FFD1FAE5"/>
      <rgbColor rgb="FFFFF7ED"/>
      <rgbColor rgb="FFEFF6FF"/>
      <rgbColor rgb="FFF3F4F6"/>
      <rgbColor rgb="FFFAF5FF"/>
      <rgbColor rgb="FFFEE2E2"/>
      <rgbColor rgb="FF3366FF"/>
      <rgbColor rgb="FF33CCCC"/>
      <rgbColor rgb="FF99CC00"/>
      <rgbColor rgb="FFF8FAFC"/>
      <rgbColor rgb="FFF59E0B"/>
      <rgbColor rgb="FFEF4444"/>
      <rgbColor rgb="FF6B7280"/>
      <rgbColor rgb="FF9CA3AF"/>
      <rgbColor rgb="FF1E3A5F"/>
      <rgbColor rgb="FF339966"/>
      <rgbColor rgb="FF003300"/>
      <rgbColor rgb="FF1C2030"/>
      <rgbColor rgb="FF92400E"/>
      <rgbColor rgb="FF993366"/>
      <rgbColor rgb="FF5B21B6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2" hidden="false" customHeight="true" outlineLevel="0" collapsed="false"/>
    <row r="4" customFormat="false" ht="24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21.75" hidden="false" customHeight="true" outlineLevel="0" collapsed="false">
      <c r="A6" s="5" t="s">
        <v>11</v>
      </c>
      <c r="B6" s="6" t="n">
        <v>8</v>
      </c>
      <c r="C6" s="6" t="n">
        <v>8</v>
      </c>
      <c r="D6" s="6" t="n">
        <v>0</v>
      </c>
      <c r="E6" s="6" t="n">
        <v>0</v>
      </c>
      <c r="F6" s="6" t="n">
        <v>0</v>
      </c>
      <c r="G6" s="6" t="n">
        <v>0</v>
      </c>
      <c r="H6" s="7" t="n">
        <f aca="false">IF(B6=0,0,(E6+F6)/B6)</f>
        <v>0</v>
      </c>
    </row>
    <row r="7" customFormat="false" ht="21.75" hidden="false" customHeight="true" outlineLevel="0" collapsed="false">
      <c r="A7" s="8" t="s">
        <v>12</v>
      </c>
      <c r="B7" s="9" t="n">
        <v>14</v>
      </c>
      <c r="C7" s="9" t="n">
        <v>14</v>
      </c>
      <c r="D7" s="9" t="n">
        <v>0</v>
      </c>
      <c r="E7" s="9" t="n">
        <v>0</v>
      </c>
      <c r="F7" s="9" t="n">
        <v>0</v>
      </c>
      <c r="G7" s="9" t="n">
        <v>0</v>
      </c>
      <c r="H7" s="10" t="n">
        <f aca="false">IF(B7=0,0,(E7+F7)/B7)</f>
        <v>0</v>
      </c>
    </row>
    <row r="8" customFormat="false" ht="21.75" hidden="false" customHeight="true" outlineLevel="0" collapsed="false">
      <c r="A8" s="5" t="s">
        <v>13</v>
      </c>
      <c r="B8" s="6" t="n">
        <v>7</v>
      </c>
      <c r="C8" s="6" t="n">
        <v>7</v>
      </c>
      <c r="D8" s="6" t="n">
        <v>0</v>
      </c>
      <c r="E8" s="6" t="n">
        <v>0</v>
      </c>
      <c r="F8" s="6" t="n">
        <v>0</v>
      </c>
      <c r="G8" s="6" t="n">
        <v>0</v>
      </c>
      <c r="H8" s="7" t="n">
        <f aca="false">IF(B8=0,0,(E8+F8)/B8)</f>
        <v>0</v>
      </c>
    </row>
    <row r="9" customFormat="false" ht="21.75" hidden="false" customHeight="true" outlineLevel="0" collapsed="false">
      <c r="A9" s="8" t="s">
        <v>14</v>
      </c>
      <c r="B9" s="9" t="n">
        <v>7</v>
      </c>
      <c r="C9" s="9" t="n">
        <v>7</v>
      </c>
      <c r="D9" s="9" t="n">
        <v>0</v>
      </c>
      <c r="E9" s="9" t="n">
        <v>0</v>
      </c>
      <c r="F9" s="9" t="n">
        <v>0</v>
      </c>
      <c r="G9" s="9" t="n">
        <v>0</v>
      </c>
      <c r="H9" s="10" t="n">
        <f aca="false">IF(B9=0,0,(E9+F9)/B9)</f>
        <v>0</v>
      </c>
    </row>
    <row r="10" customFormat="false" ht="21.75" hidden="false" customHeight="true" outlineLevel="0" collapsed="false">
      <c r="A10" s="5" t="s">
        <v>15</v>
      </c>
      <c r="B10" s="6" t="n">
        <v>7</v>
      </c>
      <c r="C10" s="6" t="n">
        <v>7</v>
      </c>
      <c r="D10" s="6" t="n">
        <v>0</v>
      </c>
      <c r="E10" s="6" t="n">
        <v>0</v>
      </c>
      <c r="F10" s="6" t="n">
        <v>0</v>
      </c>
      <c r="G10" s="6" t="n">
        <v>0</v>
      </c>
      <c r="H10" s="7" t="n">
        <f aca="false">IF(B10=0,0,(E10+F10)/B10)</f>
        <v>0</v>
      </c>
    </row>
    <row r="11" customFormat="false" ht="21.75" hidden="false" customHeight="true" outlineLevel="0" collapsed="false">
      <c r="A11" s="8" t="s">
        <v>16</v>
      </c>
      <c r="B11" s="9" t="n">
        <v>6</v>
      </c>
      <c r="C11" s="9" t="n">
        <v>6</v>
      </c>
      <c r="D11" s="9" t="n">
        <v>0</v>
      </c>
      <c r="E11" s="9" t="n">
        <v>0</v>
      </c>
      <c r="F11" s="9" t="n">
        <v>0</v>
      </c>
      <c r="G11" s="9" t="n">
        <v>0</v>
      </c>
      <c r="H11" s="10" t="n">
        <f aca="false">IF(B11=0,0,(E11+F11)/B11)</f>
        <v>0</v>
      </c>
    </row>
    <row r="12" customFormat="false" ht="24" hidden="false" customHeight="true" outlineLevel="0" collapsed="false">
      <c r="A12" s="11" t="s">
        <v>17</v>
      </c>
      <c r="B12" s="12" t="n">
        <f aca="false">SUM(B6:B11)</f>
        <v>49</v>
      </c>
      <c r="C12" s="12" t="n">
        <f aca="false">SUM(C6:C11)</f>
        <v>49</v>
      </c>
      <c r="D12" s="12" t="n">
        <f aca="false">SUM(D6:D11)</f>
        <v>0</v>
      </c>
      <c r="E12" s="12" t="n">
        <f aca="false">SUM(E6:E11)</f>
        <v>0</v>
      </c>
      <c r="F12" s="12" t="n">
        <f aca="false">SUM(F6:F11)</f>
        <v>0</v>
      </c>
      <c r="G12" s="12" t="n">
        <f aca="false">SUM(G6:G11)</f>
        <v>0</v>
      </c>
      <c r="H12" s="13" t="n">
        <f aca="false">IF(B12=0,0,(E12+F12)/B12)</f>
        <v>0</v>
      </c>
    </row>
    <row r="13" customFormat="false" ht="9.75" hidden="false" customHeight="true" outlineLevel="0" collapsed="false"/>
    <row r="14" customFormat="false" ht="15" hidden="false" customHeight="false" outlineLevel="0" collapsed="false">
      <c r="A14" s="14" t="s">
        <v>18</v>
      </c>
      <c r="B14" s="14"/>
      <c r="C14" s="14"/>
      <c r="D14" s="14"/>
      <c r="E14" s="14"/>
      <c r="F14" s="14"/>
      <c r="G14" s="14"/>
      <c r="H14" s="14"/>
    </row>
    <row r="15" customFormat="false" ht="9.75" hidden="false" customHeight="true" outlineLevel="0" collapsed="false"/>
    <row r="16" customFormat="false" ht="12.65" hidden="false" customHeight="true" outlineLevel="0" collapsed="false">
      <c r="A16" s="15" t="s">
        <v>19</v>
      </c>
      <c r="B16" s="15"/>
      <c r="C16" s="15"/>
      <c r="D16" s="15"/>
      <c r="E16" s="15"/>
      <c r="F16" s="15"/>
      <c r="G16" s="15"/>
      <c r="H16" s="15"/>
    </row>
    <row r="17" customFormat="false" ht="21.75" hidden="false" customHeight="true" outlineLevel="0" collapsed="false">
      <c r="A17" s="16" t="s">
        <v>5</v>
      </c>
      <c r="B17" s="17" t="s">
        <v>6</v>
      </c>
      <c r="C17" s="18" t="s">
        <v>7</v>
      </c>
      <c r="D17" s="19" t="s">
        <v>8</v>
      </c>
      <c r="E17" s="20" t="s">
        <v>9</v>
      </c>
    </row>
  </sheetData>
  <mergeCells count="5">
    <mergeCell ref="A1:H1"/>
    <mergeCell ref="A2:H2"/>
    <mergeCell ref="A4:H4"/>
    <mergeCell ref="A14:H14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45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9" min="9" style="0" width="32"/>
    <col collapsed="false" customWidth="true" hidden="false" outlineLevel="0" max="10" min="10" style="0" width="14"/>
  </cols>
  <sheetData>
    <row r="1" customFormat="false" ht="31.5" hidden="false" customHeight="true" outlineLevel="0" collapsed="false">
      <c r="A1" s="21" t="s">
        <v>20</v>
      </c>
      <c r="B1" s="21"/>
      <c r="C1" s="21"/>
      <c r="D1" s="21"/>
      <c r="E1" s="21"/>
      <c r="F1" s="21"/>
      <c r="G1" s="21"/>
      <c r="H1" s="21"/>
      <c r="I1" s="21"/>
      <c r="J1" s="21"/>
    </row>
    <row r="2" customFormat="false" ht="19.5" hidden="false" customHeight="true" outlineLevel="0" collapsed="false">
      <c r="A2" s="22" t="s">
        <v>21</v>
      </c>
      <c r="B2" s="22"/>
      <c r="C2" s="22"/>
      <c r="D2" s="22"/>
      <c r="E2" s="22"/>
      <c r="F2" s="22"/>
      <c r="G2" s="22"/>
      <c r="H2" s="22"/>
      <c r="I2" s="22"/>
      <c r="J2" s="22"/>
    </row>
    <row r="3" customFormat="false" ht="27.75" hidden="false" customHeight="true" outlineLevel="0" collapsed="false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</row>
    <row r="4" customFormat="false" ht="48" hidden="false" customHeight="true" outlineLevel="0" collapsed="false">
      <c r="A4" s="23" t="s">
        <v>32</v>
      </c>
      <c r="B4" s="24" t="s">
        <v>33</v>
      </c>
      <c r="C4" s="24" t="s">
        <v>34</v>
      </c>
      <c r="D4" s="24" t="s">
        <v>35</v>
      </c>
      <c r="E4" s="25" t="s">
        <v>36</v>
      </c>
      <c r="F4" s="23" t="s">
        <v>37</v>
      </c>
      <c r="G4" s="26" t="s">
        <v>5</v>
      </c>
      <c r="H4" s="24"/>
      <c r="I4" s="24"/>
      <c r="J4" s="23"/>
    </row>
    <row r="5" customFormat="false" ht="48" hidden="false" customHeight="true" outlineLevel="0" collapsed="false">
      <c r="A5" s="27" t="s">
        <v>38</v>
      </c>
      <c r="B5" s="28" t="s">
        <v>39</v>
      </c>
      <c r="C5" s="28" t="s">
        <v>40</v>
      </c>
      <c r="D5" s="28" t="s">
        <v>41</v>
      </c>
      <c r="E5" s="25" t="s">
        <v>36</v>
      </c>
      <c r="F5" s="27" t="s">
        <v>37</v>
      </c>
      <c r="G5" s="26" t="s">
        <v>5</v>
      </c>
      <c r="H5" s="28"/>
      <c r="I5" s="28"/>
      <c r="J5" s="27"/>
    </row>
    <row r="6" customFormat="false" ht="48" hidden="false" customHeight="true" outlineLevel="0" collapsed="false">
      <c r="A6" s="23" t="s">
        <v>42</v>
      </c>
      <c r="B6" s="24" t="s">
        <v>43</v>
      </c>
      <c r="C6" s="24" t="s">
        <v>44</v>
      </c>
      <c r="D6" s="24" t="s">
        <v>45</v>
      </c>
      <c r="E6" s="25" t="s">
        <v>36</v>
      </c>
      <c r="F6" s="23" t="s">
        <v>46</v>
      </c>
      <c r="G6" s="26" t="s">
        <v>5</v>
      </c>
      <c r="H6" s="24"/>
      <c r="I6" s="24"/>
      <c r="J6" s="23"/>
    </row>
    <row r="7" customFormat="false" ht="48" hidden="false" customHeight="true" outlineLevel="0" collapsed="false">
      <c r="A7" s="27" t="s">
        <v>47</v>
      </c>
      <c r="B7" s="28" t="s">
        <v>48</v>
      </c>
      <c r="C7" s="28" t="s">
        <v>49</v>
      </c>
      <c r="D7" s="28" t="s">
        <v>50</v>
      </c>
      <c r="E7" s="29" t="s">
        <v>51</v>
      </c>
      <c r="F7" s="27" t="s">
        <v>52</v>
      </c>
      <c r="G7" s="26" t="s">
        <v>5</v>
      </c>
      <c r="H7" s="28"/>
      <c r="I7" s="28"/>
      <c r="J7" s="27"/>
    </row>
    <row r="8" customFormat="false" ht="48" hidden="false" customHeight="true" outlineLevel="0" collapsed="false">
      <c r="A8" s="23" t="s">
        <v>53</v>
      </c>
      <c r="B8" s="24" t="s">
        <v>54</v>
      </c>
      <c r="C8" s="24" t="s">
        <v>55</v>
      </c>
      <c r="D8" s="24" t="s">
        <v>56</v>
      </c>
      <c r="E8" s="25" t="s">
        <v>36</v>
      </c>
      <c r="F8" s="23" t="s">
        <v>52</v>
      </c>
      <c r="G8" s="26" t="s">
        <v>5</v>
      </c>
      <c r="H8" s="24"/>
      <c r="I8" s="24"/>
      <c r="J8" s="23"/>
    </row>
    <row r="9" customFormat="false" ht="48" hidden="false" customHeight="true" outlineLevel="0" collapsed="false">
      <c r="A9" s="27" t="s">
        <v>57</v>
      </c>
      <c r="B9" s="28" t="s">
        <v>58</v>
      </c>
      <c r="C9" s="28" t="s">
        <v>59</v>
      </c>
      <c r="D9" s="28" t="s">
        <v>60</v>
      </c>
      <c r="E9" s="25" t="s">
        <v>36</v>
      </c>
      <c r="F9" s="27" t="s">
        <v>37</v>
      </c>
      <c r="G9" s="26" t="s">
        <v>5</v>
      </c>
      <c r="H9" s="28"/>
      <c r="I9" s="28"/>
      <c r="J9" s="27"/>
    </row>
    <row r="10" customFormat="false" ht="48" hidden="false" customHeight="true" outlineLevel="0" collapsed="false">
      <c r="A10" s="23" t="s">
        <v>61</v>
      </c>
      <c r="B10" s="24" t="s">
        <v>62</v>
      </c>
      <c r="C10" s="24" t="s">
        <v>63</v>
      </c>
      <c r="D10" s="24" t="s">
        <v>64</v>
      </c>
      <c r="E10" s="25" t="s">
        <v>36</v>
      </c>
      <c r="F10" s="23" t="s">
        <v>37</v>
      </c>
      <c r="G10" s="26" t="s">
        <v>5</v>
      </c>
      <c r="H10" s="24"/>
      <c r="I10" s="24"/>
      <c r="J10" s="23"/>
    </row>
    <row r="11" customFormat="false" ht="48" hidden="false" customHeight="true" outlineLevel="0" collapsed="false">
      <c r="A11" s="27" t="s">
        <v>65</v>
      </c>
      <c r="B11" s="28" t="s">
        <v>66</v>
      </c>
      <c r="C11" s="28" t="s">
        <v>67</v>
      </c>
      <c r="D11" s="28" t="s">
        <v>68</v>
      </c>
      <c r="E11" s="29" t="s">
        <v>51</v>
      </c>
      <c r="F11" s="27" t="s">
        <v>52</v>
      </c>
      <c r="G11" s="26" t="s">
        <v>5</v>
      </c>
      <c r="H11" s="28"/>
      <c r="I11" s="28"/>
      <c r="J11" s="27"/>
    </row>
  </sheetData>
  <mergeCells count="2">
    <mergeCell ref="A1:J1"/>
    <mergeCell ref="A2:J2"/>
  </mergeCells>
  <dataValidations count="2">
    <dataValidation allowBlank="true" error="Selecione um status válido" errorStyle="stop" errorTitle="Status inválido" operator="between" prompt="Selecione o status" promptTitle="Status" showDropDown="false" showErrorMessage="false" showInputMessage="false" sqref="G4:G11" type="list">
      <formula1>"Pendente,Em Andamento,Aprovado,Falhou,Bloqueado"</formula1>
      <formula2>0</formula2>
    </dataValidation>
    <dataValidation allowBlank="true" errorStyle="stop" operator="between" showDropDown="false" showErrorMessage="false" showInputMessage="false" sqref="E4:E11" type="list">
      <formula1>"Alta,Média,Baixa"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45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9" min="9" style="0" width="32"/>
    <col collapsed="false" customWidth="true" hidden="false" outlineLevel="0" max="10" min="10" style="0" width="14"/>
  </cols>
  <sheetData>
    <row r="1" customFormat="false" ht="31.5" hidden="false" customHeight="true" outlineLevel="0" collapsed="false">
      <c r="A1" s="21" t="s">
        <v>69</v>
      </c>
      <c r="B1" s="21"/>
      <c r="C1" s="21"/>
      <c r="D1" s="21"/>
      <c r="E1" s="21"/>
      <c r="F1" s="21"/>
      <c r="G1" s="21"/>
      <c r="H1" s="21"/>
      <c r="I1" s="21"/>
      <c r="J1" s="21"/>
    </row>
    <row r="2" customFormat="false" ht="19.5" hidden="false" customHeight="true" outlineLevel="0" collapsed="false">
      <c r="A2" s="22" t="s">
        <v>70</v>
      </c>
      <c r="B2" s="22"/>
      <c r="C2" s="22"/>
      <c r="D2" s="22"/>
      <c r="E2" s="22"/>
      <c r="F2" s="22"/>
      <c r="G2" s="22"/>
      <c r="H2" s="22"/>
      <c r="I2" s="22"/>
      <c r="J2" s="22"/>
    </row>
    <row r="3" customFormat="false" ht="27.75" hidden="false" customHeight="true" outlineLevel="0" collapsed="false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</row>
    <row r="4" customFormat="false" ht="48" hidden="false" customHeight="true" outlineLevel="0" collapsed="false">
      <c r="A4" s="23" t="s">
        <v>71</v>
      </c>
      <c r="B4" s="24" t="s">
        <v>72</v>
      </c>
      <c r="C4" s="24" t="s">
        <v>73</v>
      </c>
      <c r="D4" s="24" t="s">
        <v>74</v>
      </c>
      <c r="E4" s="25" t="s">
        <v>36</v>
      </c>
      <c r="F4" s="23" t="s">
        <v>75</v>
      </c>
      <c r="G4" s="26" t="s">
        <v>5</v>
      </c>
      <c r="H4" s="24"/>
      <c r="I4" s="24"/>
      <c r="J4" s="23"/>
    </row>
    <row r="5" customFormat="false" ht="48" hidden="false" customHeight="true" outlineLevel="0" collapsed="false">
      <c r="A5" s="27" t="s">
        <v>76</v>
      </c>
      <c r="B5" s="28" t="s">
        <v>77</v>
      </c>
      <c r="C5" s="28" t="s">
        <v>78</v>
      </c>
      <c r="D5" s="28" t="s">
        <v>79</v>
      </c>
      <c r="E5" s="25" t="s">
        <v>36</v>
      </c>
      <c r="F5" s="27" t="s">
        <v>75</v>
      </c>
      <c r="G5" s="26" t="s">
        <v>5</v>
      </c>
      <c r="H5" s="28"/>
      <c r="I5" s="28"/>
      <c r="J5" s="27"/>
    </row>
    <row r="6" customFormat="false" ht="48" hidden="false" customHeight="true" outlineLevel="0" collapsed="false">
      <c r="A6" s="23" t="s">
        <v>80</v>
      </c>
      <c r="B6" s="24" t="s">
        <v>81</v>
      </c>
      <c r="C6" s="24" t="s">
        <v>82</v>
      </c>
      <c r="D6" s="24" t="s">
        <v>83</v>
      </c>
      <c r="E6" s="25" t="s">
        <v>36</v>
      </c>
      <c r="F6" s="23" t="s">
        <v>75</v>
      </c>
      <c r="G6" s="26" t="s">
        <v>5</v>
      </c>
      <c r="H6" s="24"/>
      <c r="I6" s="24"/>
      <c r="J6" s="23"/>
    </row>
    <row r="7" customFormat="false" ht="48" hidden="false" customHeight="true" outlineLevel="0" collapsed="false">
      <c r="A7" s="27" t="s">
        <v>84</v>
      </c>
      <c r="B7" s="28" t="s">
        <v>85</v>
      </c>
      <c r="C7" s="28" t="s">
        <v>86</v>
      </c>
      <c r="D7" s="28" t="s">
        <v>87</v>
      </c>
      <c r="E7" s="25" t="s">
        <v>36</v>
      </c>
      <c r="F7" s="27" t="s">
        <v>75</v>
      </c>
      <c r="G7" s="26" t="s">
        <v>5</v>
      </c>
      <c r="H7" s="28"/>
      <c r="I7" s="28"/>
      <c r="J7" s="27"/>
    </row>
    <row r="8" customFormat="false" ht="48" hidden="false" customHeight="true" outlineLevel="0" collapsed="false">
      <c r="A8" s="23" t="s">
        <v>88</v>
      </c>
      <c r="B8" s="24" t="s">
        <v>89</v>
      </c>
      <c r="C8" s="24" t="s">
        <v>90</v>
      </c>
      <c r="D8" s="24" t="s">
        <v>91</v>
      </c>
      <c r="E8" s="25" t="s">
        <v>36</v>
      </c>
      <c r="F8" s="23" t="s">
        <v>75</v>
      </c>
      <c r="G8" s="26" t="s">
        <v>5</v>
      </c>
      <c r="H8" s="24"/>
      <c r="I8" s="24"/>
      <c r="J8" s="23"/>
    </row>
    <row r="9" customFormat="false" ht="48" hidden="false" customHeight="true" outlineLevel="0" collapsed="false">
      <c r="A9" s="27" t="s">
        <v>92</v>
      </c>
      <c r="B9" s="28" t="s">
        <v>93</v>
      </c>
      <c r="C9" s="28" t="s">
        <v>94</v>
      </c>
      <c r="D9" s="28" t="s">
        <v>95</v>
      </c>
      <c r="E9" s="25" t="s">
        <v>36</v>
      </c>
      <c r="F9" s="27" t="s">
        <v>75</v>
      </c>
      <c r="G9" s="26" t="s">
        <v>5</v>
      </c>
      <c r="H9" s="28"/>
      <c r="I9" s="28"/>
      <c r="J9" s="27"/>
    </row>
    <row r="10" customFormat="false" ht="48" hidden="false" customHeight="true" outlineLevel="0" collapsed="false">
      <c r="A10" s="23" t="s">
        <v>96</v>
      </c>
      <c r="B10" s="24" t="s">
        <v>97</v>
      </c>
      <c r="C10" s="24" t="s">
        <v>98</v>
      </c>
      <c r="D10" s="24" t="s">
        <v>99</v>
      </c>
      <c r="E10" s="29" t="s">
        <v>51</v>
      </c>
      <c r="F10" s="23" t="s">
        <v>75</v>
      </c>
      <c r="G10" s="26" t="s">
        <v>5</v>
      </c>
      <c r="H10" s="24"/>
      <c r="I10" s="24"/>
      <c r="J10" s="23"/>
    </row>
    <row r="11" customFormat="false" ht="48" hidden="false" customHeight="true" outlineLevel="0" collapsed="false">
      <c r="A11" s="27" t="s">
        <v>100</v>
      </c>
      <c r="B11" s="28" t="s">
        <v>101</v>
      </c>
      <c r="C11" s="28" t="s">
        <v>102</v>
      </c>
      <c r="D11" s="28" t="s">
        <v>103</v>
      </c>
      <c r="E11" s="29" t="s">
        <v>51</v>
      </c>
      <c r="F11" s="27" t="s">
        <v>75</v>
      </c>
      <c r="G11" s="26" t="s">
        <v>5</v>
      </c>
      <c r="H11" s="28"/>
      <c r="I11" s="28"/>
      <c r="J11" s="27"/>
    </row>
    <row r="12" customFormat="false" ht="48" hidden="false" customHeight="true" outlineLevel="0" collapsed="false">
      <c r="A12" s="23" t="s">
        <v>104</v>
      </c>
      <c r="B12" s="24" t="s">
        <v>105</v>
      </c>
      <c r="C12" s="24" t="s">
        <v>106</v>
      </c>
      <c r="D12" s="24" t="s">
        <v>107</v>
      </c>
      <c r="E12" s="25" t="s">
        <v>36</v>
      </c>
      <c r="F12" s="23" t="s">
        <v>75</v>
      </c>
      <c r="G12" s="26" t="s">
        <v>5</v>
      </c>
      <c r="H12" s="24"/>
      <c r="I12" s="24"/>
      <c r="J12" s="23"/>
    </row>
    <row r="13" customFormat="false" ht="48" hidden="false" customHeight="true" outlineLevel="0" collapsed="false">
      <c r="A13" s="27" t="s">
        <v>108</v>
      </c>
      <c r="B13" s="28" t="s">
        <v>109</v>
      </c>
      <c r="C13" s="28" t="s">
        <v>110</v>
      </c>
      <c r="D13" s="28" t="s">
        <v>111</v>
      </c>
      <c r="E13" s="25" t="s">
        <v>36</v>
      </c>
      <c r="F13" s="27" t="s">
        <v>75</v>
      </c>
      <c r="G13" s="26" t="s">
        <v>5</v>
      </c>
      <c r="H13" s="28"/>
      <c r="I13" s="28"/>
      <c r="J13" s="27"/>
    </row>
    <row r="14" customFormat="false" ht="48" hidden="false" customHeight="true" outlineLevel="0" collapsed="false">
      <c r="A14" s="23" t="s">
        <v>112</v>
      </c>
      <c r="B14" s="24" t="s">
        <v>113</v>
      </c>
      <c r="C14" s="24" t="s">
        <v>114</v>
      </c>
      <c r="D14" s="24" t="s">
        <v>41</v>
      </c>
      <c r="E14" s="25" t="s">
        <v>36</v>
      </c>
      <c r="F14" s="23" t="s">
        <v>115</v>
      </c>
      <c r="G14" s="26" t="s">
        <v>5</v>
      </c>
      <c r="H14" s="24"/>
      <c r="I14" s="24"/>
      <c r="J14" s="23"/>
    </row>
    <row r="15" customFormat="false" ht="48" hidden="false" customHeight="true" outlineLevel="0" collapsed="false">
      <c r="A15" s="27" t="s">
        <v>116</v>
      </c>
      <c r="B15" s="28" t="s">
        <v>117</v>
      </c>
      <c r="C15" s="28" t="s">
        <v>118</v>
      </c>
      <c r="D15" s="28" t="s">
        <v>87</v>
      </c>
      <c r="E15" s="25" t="s">
        <v>36</v>
      </c>
      <c r="F15" s="27" t="s">
        <v>75</v>
      </c>
      <c r="G15" s="26" t="s">
        <v>5</v>
      </c>
      <c r="H15" s="28"/>
      <c r="I15" s="28"/>
      <c r="J15" s="27"/>
    </row>
    <row r="16" customFormat="false" ht="48" hidden="false" customHeight="true" outlineLevel="0" collapsed="false">
      <c r="A16" s="23" t="s">
        <v>119</v>
      </c>
      <c r="B16" s="24" t="s">
        <v>120</v>
      </c>
      <c r="C16" s="24" t="s">
        <v>121</v>
      </c>
      <c r="D16" s="24" t="s">
        <v>95</v>
      </c>
      <c r="E16" s="25" t="s">
        <v>36</v>
      </c>
      <c r="F16" s="23" t="s">
        <v>75</v>
      </c>
      <c r="G16" s="26" t="s">
        <v>5</v>
      </c>
      <c r="H16" s="24"/>
      <c r="I16" s="24"/>
      <c r="J16" s="23"/>
    </row>
    <row r="17" customFormat="false" ht="48" hidden="false" customHeight="true" outlineLevel="0" collapsed="false">
      <c r="A17" s="27" t="s">
        <v>122</v>
      </c>
      <c r="B17" s="28" t="s">
        <v>123</v>
      </c>
      <c r="C17" s="28" t="s">
        <v>124</v>
      </c>
      <c r="D17" s="28" t="s">
        <v>125</v>
      </c>
      <c r="E17" s="29" t="s">
        <v>51</v>
      </c>
      <c r="F17" s="27" t="s">
        <v>75</v>
      </c>
      <c r="G17" s="26" t="s">
        <v>5</v>
      </c>
      <c r="H17" s="28"/>
      <c r="I17" s="28"/>
      <c r="J17" s="27"/>
    </row>
  </sheetData>
  <mergeCells count="2">
    <mergeCell ref="A1:J1"/>
    <mergeCell ref="A2:J2"/>
  </mergeCells>
  <dataValidations count="2">
    <dataValidation allowBlank="true" error="Selecione um status válido" errorStyle="stop" errorTitle="Status inválido" operator="between" prompt="Selecione o status" promptTitle="Status" showDropDown="false" showErrorMessage="false" showInputMessage="false" sqref="G4:G17" type="list">
      <formula1>"Pendente,Em Andamento,Aprovado,Falhou,Bloqueado"</formula1>
      <formula2>0</formula2>
    </dataValidation>
    <dataValidation allowBlank="true" errorStyle="stop" operator="between" showDropDown="false" showErrorMessage="false" showInputMessage="false" sqref="E4:E17" type="list">
      <formula1>"Alta,Média,Baixa"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45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9" min="9" style="0" width="32"/>
    <col collapsed="false" customWidth="true" hidden="false" outlineLevel="0" max="10" min="10" style="0" width="14"/>
  </cols>
  <sheetData>
    <row r="1" customFormat="false" ht="31.5" hidden="false" customHeight="true" outlineLevel="0" collapsed="false">
      <c r="A1" s="21" t="s">
        <v>126</v>
      </c>
      <c r="B1" s="21"/>
      <c r="C1" s="21"/>
      <c r="D1" s="21"/>
      <c r="E1" s="21"/>
      <c r="F1" s="21"/>
      <c r="G1" s="21"/>
      <c r="H1" s="21"/>
      <c r="I1" s="21"/>
      <c r="J1" s="21"/>
    </row>
    <row r="2" customFormat="false" ht="19.5" hidden="false" customHeight="true" outlineLevel="0" collapsed="false">
      <c r="A2" s="22" t="s">
        <v>127</v>
      </c>
      <c r="B2" s="22"/>
      <c r="C2" s="22"/>
      <c r="D2" s="22"/>
      <c r="E2" s="22"/>
      <c r="F2" s="22"/>
      <c r="G2" s="22"/>
      <c r="H2" s="22"/>
      <c r="I2" s="22"/>
      <c r="J2" s="22"/>
    </row>
    <row r="3" customFormat="false" ht="27.75" hidden="false" customHeight="true" outlineLevel="0" collapsed="false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</row>
    <row r="4" customFormat="false" ht="48" hidden="false" customHeight="true" outlineLevel="0" collapsed="false">
      <c r="A4" s="23" t="s">
        <v>128</v>
      </c>
      <c r="B4" s="24" t="s">
        <v>129</v>
      </c>
      <c r="C4" s="24" t="s">
        <v>130</v>
      </c>
      <c r="D4" s="24" t="s">
        <v>79</v>
      </c>
      <c r="E4" s="25" t="s">
        <v>36</v>
      </c>
      <c r="F4" s="23" t="s">
        <v>131</v>
      </c>
      <c r="G4" s="26" t="s">
        <v>5</v>
      </c>
      <c r="H4" s="24"/>
      <c r="I4" s="24"/>
      <c r="J4" s="23"/>
    </row>
    <row r="5" customFormat="false" ht="48" hidden="false" customHeight="true" outlineLevel="0" collapsed="false">
      <c r="A5" s="27" t="s">
        <v>132</v>
      </c>
      <c r="B5" s="28" t="s">
        <v>133</v>
      </c>
      <c r="C5" s="28" t="s">
        <v>134</v>
      </c>
      <c r="D5" s="28" t="s">
        <v>87</v>
      </c>
      <c r="E5" s="25" t="s">
        <v>36</v>
      </c>
      <c r="F5" s="27" t="s">
        <v>131</v>
      </c>
      <c r="G5" s="26" t="s">
        <v>5</v>
      </c>
      <c r="H5" s="28"/>
      <c r="I5" s="28"/>
      <c r="J5" s="27"/>
    </row>
    <row r="6" customFormat="false" ht="48" hidden="false" customHeight="true" outlineLevel="0" collapsed="false">
      <c r="A6" s="23" t="s">
        <v>135</v>
      </c>
      <c r="B6" s="24" t="s">
        <v>136</v>
      </c>
      <c r="C6" s="24" t="s">
        <v>137</v>
      </c>
      <c r="D6" s="24" t="s">
        <v>138</v>
      </c>
      <c r="E6" s="25" t="s">
        <v>36</v>
      </c>
      <c r="F6" s="23" t="s">
        <v>131</v>
      </c>
      <c r="G6" s="26" t="s">
        <v>5</v>
      </c>
      <c r="H6" s="24"/>
      <c r="I6" s="24"/>
      <c r="J6" s="23"/>
    </row>
    <row r="7" customFormat="false" ht="48" hidden="false" customHeight="true" outlineLevel="0" collapsed="false">
      <c r="A7" s="27" t="s">
        <v>139</v>
      </c>
      <c r="B7" s="28" t="s">
        <v>140</v>
      </c>
      <c r="C7" s="28" t="s">
        <v>141</v>
      </c>
      <c r="D7" s="28" t="s">
        <v>95</v>
      </c>
      <c r="E7" s="25" t="s">
        <v>36</v>
      </c>
      <c r="F7" s="27" t="s">
        <v>131</v>
      </c>
      <c r="G7" s="26" t="s">
        <v>5</v>
      </c>
      <c r="H7" s="28"/>
      <c r="I7" s="28"/>
      <c r="J7" s="27"/>
    </row>
    <row r="8" customFormat="false" ht="48" hidden="false" customHeight="true" outlineLevel="0" collapsed="false">
      <c r="A8" s="23" t="s">
        <v>142</v>
      </c>
      <c r="B8" s="24" t="s">
        <v>143</v>
      </c>
      <c r="C8" s="24" t="s">
        <v>144</v>
      </c>
      <c r="D8" s="24" t="s">
        <v>99</v>
      </c>
      <c r="E8" s="25" t="s">
        <v>36</v>
      </c>
      <c r="F8" s="23" t="s">
        <v>131</v>
      </c>
      <c r="G8" s="26" t="s">
        <v>5</v>
      </c>
      <c r="H8" s="24"/>
      <c r="I8" s="24"/>
      <c r="J8" s="23"/>
    </row>
    <row r="9" customFormat="false" ht="48" hidden="false" customHeight="true" outlineLevel="0" collapsed="false">
      <c r="A9" s="27" t="s">
        <v>145</v>
      </c>
      <c r="B9" s="28" t="s">
        <v>146</v>
      </c>
      <c r="C9" s="28" t="s">
        <v>147</v>
      </c>
      <c r="D9" s="28" t="s">
        <v>148</v>
      </c>
      <c r="E9" s="29" t="s">
        <v>51</v>
      </c>
      <c r="F9" s="27" t="s">
        <v>75</v>
      </c>
      <c r="G9" s="26" t="s">
        <v>5</v>
      </c>
      <c r="H9" s="28"/>
      <c r="I9" s="28"/>
      <c r="J9" s="27"/>
    </row>
    <row r="10" customFormat="false" ht="48" hidden="false" customHeight="true" outlineLevel="0" collapsed="false">
      <c r="A10" s="23" t="s">
        <v>149</v>
      </c>
      <c r="B10" s="24" t="s">
        <v>150</v>
      </c>
      <c r="C10" s="24" t="s">
        <v>151</v>
      </c>
      <c r="D10" s="24" t="s">
        <v>152</v>
      </c>
      <c r="E10" s="25" t="s">
        <v>36</v>
      </c>
      <c r="F10" s="23" t="s">
        <v>131</v>
      </c>
      <c r="G10" s="26" t="s">
        <v>5</v>
      </c>
      <c r="H10" s="24"/>
      <c r="I10" s="24"/>
      <c r="J10" s="23"/>
    </row>
  </sheetData>
  <mergeCells count="2">
    <mergeCell ref="A1:J1"/>
    <mergeCell ref="A2:J2"/>
  </mergeCells>
  <dataValidations count="2">
    <dataValidation allowBlank="true" error="Selecione um status válido" errorStyle="stop" errorTitle="Status inválido" operator="between" prompt="Selecione o status" promptTitle="Status" showDropDown="false" showErrorMessage="false" showInputMessage="false" sqref="G4:G10" type="list">
      <formula1>"Pendente,Em Andamento,Aprovado,Falhou,Bloqueado"</formula1>
      <formula2>0</formula2>
    </dataValidation>
    <dataValidation allowBlank="true" errorStyle="stop" operator="between" showDropDown="false" showErrorMessage="false" showInputMessage="false" sqref="E4:E10" type="list">
      <formula1>"Alta,Média,Baixa"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45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9" min="9" style="0" width="32"/>
    <col collapsed="false" customWidth="true" hidden="false" outlineLevel="0" max="10" min="10" style="0" width="14"/>
  </cols>
  <sheetData>
    <row r="1" customFormat="false" ht="31.5" hidden="false" customHeight="true" outlineLevel="0" collapsed="false">
      <c r="A1" s="21" t="s">
        <v>153</v>
      </c>
      <c r="B1" s="21"/>
      <c r="C1" s="21"/>
      <c r="D1" s="21"/>
      <c r="E1" s="21"/>
      <c r="F1" s="21"/>
      <c r="G1" s="21"/>
      <c r="H1" s="21"/>
      <c r="I1" s="21"/>
      <c r="J1" s="21"/>
    </row>
    <row r="2" customFormat="false" ht="19.5" hidden="false" customHeight="true" outlineLevel="0" collapsed="false">
      <c r="A2" s="22" t="s">
        <v>154</v>
      </c>
      <c r="B2" s="22"/>
      <c r="C2" s="22"/>
      <c r="D2" s="22"/>
      <c r="E2" s="22"/>
      <c r="F2" s="22"/>
      <c r="G2" s="22"/>
      <c r="H2" s="22"/>
      <c r="I2" s="22"/>
      <c r="J2" s="22"/>
    </row>
    <row r="3" customFormat="false" ht="27.75" hidden="false" customHeight="true" outlineLevel="0" collapsed="false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</row>
    <row r="4" customFormat="false" ht="48" hidden="false" customHeight="true" outlineLevel="0" collapsed="false">
      <c r="A4" s="23" t="s">
        <v>155</v>
      </c>
      <c r="B4" s="24" t="s">
        <v>156</v>
      </c>
      <c r="C4" s="24" t="s">
        <v>157</v>
      </c>
      <c r="D4" s="24" t="s">
        <v>158</v>
      </c>
      <c r="E4" s="25" t="s">
        <v>36</v>
      </c>
      <c r="F4" s="23" t="s">
        <v>37</v>
      </c>
      <c r="G4" s="26" t="s">
        <v>5</v>
      </c>
      <c r="H4" s="24"/>
      <c r="I4" s="24"/>
      <c r="J4" s="23"/>
    </row>
    <row r="5" customFormat="false" ht="48" hidden="false" customHeight="true" outlineLevel="0" collapsed="false">
      <c r="A5" s="27" t="s">
        <v>159</v>
      </c>
      <c r="B5" s="28" t="s">
        <v>160</v>
      </c>
      <c r="C5" s="28" t="s">
        <v>161</v>
      </c>
      <c r="D5" s="28" t="s">
        <v>158</v>
      </c>
      <c r="E5" s="25" t="s">
        <v>36</v>
      </c>
      <c r="F5" s="27" t="s">
        <v>115</v>
      </c>
      <c r="G5" s="26" t="s">
        <v>5</v>
      </c>
      <c r="H5" s="28"/>
      <c r="I5" s="28"/>
      <c r="J5" s="27"/>
    </row>
    <row r="6" customFormat="false" ht="48" hidden="false" customHeight="true" outlineLevel="0" collapsed="false">
      <c r="A6" s="23" t="s">
        <v>162</v>
      </c>
      <c r="B6" s="24" t="s">
        <v>163</v>
      </c>
      <c r="C6" s="24" t="s">
        <v>164</v>
      </c>
      <c r="D6" s="24" t="s">
        <v>158</v>
      </c>
      <c r="E6" s="25" t="s">
        <v>36</v>
      </c>
      <c r="F6" s="23" t="s">
        <v>115</v>
      </c>
      <c r="G6" s="26" t="s">
        <v>5</v>
      </c>
      <c r="H6" s="24"/>
      <c r="I6" s="24"/>
      <c r="J6" s="23"/>
    </row>
    <row r="7" customFormat="false" ht="48" hidden="false" customHeight="true" outlineLevel="0" collapsed="false">
      <c r="A7" s="27" t="s">
        <v>165</v>
      </c>
      <c r="B7" s="28" t="s">
        <v>166</v>
      </c>
      <c r="C7" s="28" t="s">
        <v>167</v>
      </c>
      <c r="D7" s="28" t="s">
        <v>168</v>
      </c>
      <c r="E7" s="25" t="s">
        <v>36</v>
      </c>
      <c r="F7" s="27" t="s">
        <v>75</v>
      </c>
      <c r="G7" s="26" t="s">
        <v>5</v>
      </c>
      <c r="H7" s="28"/>
      <c r="I7" s="28"/>
      <c r="J7" s="27"/>
    </row>
    <row r="8" customFormat="false" ht="48" hidden="false" customHeight="true" outlineLevel="0" collapsed="false">
      <c r="A8" s="23" t="s">
        <v>169</v>
      </c>
      <c r="B8" s="24" t="s">
        <v>170</v>
      </c>
      <c r="C8" s="24" t="s">
        <v>171</v>
      </c>
      <c r="D8" s="24" t="s">
        <v>41</v>
      </c>
      <c r="E8" s="25" t="s">
        <v>36</v>
      </c>
      <c r="F8" s="23" t="s">
        <v>115</v>
      </c>
      <c r="G8" s="26" t="s">
        <v>5</v>
      </c>
      <c r="H8" s="24"/>
      <c r="I8" s="24"/>
      <c r="J8" s="23"/>
    </row>
    <row r="9" customFormat="false" ht="48" hidden="false" customHeight="true" outlineLevel="0" collapsed="false">
      <c r="A9" s="27" t="s">
        <v>172</v>
      </c>
      <c r="B9" s="28" t="s">
        <v>173</v>
      </c>
      <c r="C9" s="28" t="s">
        <v>174</v>
      </c>
      <c r="D9" s="28" t="s">
        <v>158</v>
      </c>
      <c r="E9" s="25" t="s">
        <v>36</v>
      </c>
      <c r="F9" s="27" t="s">
        <v>37</v>
      </c>
      <c r="G9" s="26" t="s">
        <v>5</v>
      </c>
      <c r="H9" s="28"/>
      <c r="I9" s="28"/>
      <c r="J9" s="27"/>
    </row>
    <row r="10" customFormat="false" ht="48" hidden="false" customHeight="true" outlineLevel="0" collapsed="false">
      <c r="A10" s="23" t="s">
        <v>175</v>
      </c>
      <c r="B10" s="24" t="s">
        <v>176</v>
      </c>
      <c r="C10" s="24" t="s">
        <v>177</v>
      </c>
      <c r="D10" s="24" t="s">
        <v>178</v>
      </c>
      <c r="E10" s="25" t="s">
        <v>36</v>
      </c>
      <c r="F10" s="23" t="s">
        <v>131</v>
      </c>
      <c r="G10" s="26" t="s">
        <v>5</v>
      </c>
      <c r="H10" s="24"/>
      <c r="I10" s="24"/>
      <c r="J10" s="23"/>
    </row>
  </sheetData>
  <mergeCells count="2">
    <mergeCell ref="A1:J1"/>
    <mergeCell ref="A2:J2"/>
  </mergeCells>
  <dataValidations count="2">
    <dataValidation allowBlank="true" error="Selecione um status válido" errorStyle="stop" errorTitle="Status inválido" operator="between" prompt="Selecione o status" promptTitle="Status" showDropDown="false" showErrorMessage="false" showInputMessage="false" sqref="G4:G10" type="list">
      <formula1>"Pendente,Em Andamento,Aprovado,Falhou,Bloqueado"</formula1>
      <formula2>0</formula2>
    </dataValidation>
    <dataValidation allowBlank="true" errorStyle="stop" operator="between" showDropDown="false" showErrorMessage="false" showInputMessage="false" sqref="E4:E10" type="list">
      <formula1>"Alta,Média,Baixa"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45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9" min="9" style="0" width="32"/>
    <col collapsed="false" customWidth="true" hidden="false" outlineLevel="0" max="10" min="10" style="0" width="14"/>
  </cols>
  <sheetData>
    <row r="1" customFormat="false" ht="31.5" hidden="false" customHeight="true" outlineLevel="0" collapsed="false">
      <c r="A1" s="21" t="s">
        <v>179</v>
      </c>
      <c r="B1" s="21"/>
      <c r="C1" s="21"/>
      <c r="D1" s="21"/>
      <c r="E1" s="21"/>
      <c r="F1" s="21"/>
      <c r="G1" s="21"/>
      <c r="H1" s="21"/>
      <c r="I1" s="21"/>
      <c r="J1" s="21"/>
    </row>
    <row r="2" customFormat="false" ht="19.5" hidden="false" customHeight="true" outlineLevel="0" collapsed="false">
      <c r="A2" s="22" t="s">
        <v>180</v>
      </c>
      <c r="B2" s="22"/>
      <c r="C2" s="22"/>
      <c r="D2" s="22"/>
      <c r="E2" s="22"/>
      <c r="F2" s="22"/>
      <c r="G2" s="22"/>
      <c r="H2" s="22"/>
      <c r="I2" s="22"/>
      <c r="J2" s="22"/>
    </row>
    <row r="3" customFormat="false" ht="27.75" hidden="false" customHeight="true" outlineLevel="0" collapsed="false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</row>
    <row r="4" customFormat="false" ht="48" hidden="false" customHeight="true" outlineLevel="0" collapsed="false">
      <c r="A4" s="23" t="s">
        <v>181</v>
      </c>
      <c r="B4" s="24" t="s">
        <v>182</v>
      </c>
      <c r="C4" s="24" t="s">
        <v>183</v>
      </c>
      <c r="D4" s="24" t="s">
        <v>74</v>
      </c>
      <c r="E4" s="25" t="s">
        <v>36</v>
      </c>
      <c r="F4" s="23" t="s">
        <v>75</v>
      </c>
      <c r="G4" s="26" t="s">
        <v>5</v>
      </c>
      <c r="H4" s="24"/>
      <c r="I4" s="24"/>
      <c r="J4" s="23"/>
    </row>
    <row r="5" customFormat="false" ht="48" hidden="false" customHeight="true" outlineLevel="0" collapsed="false">
      <c r="A5" s="27" t="s">
        <v>184</v>
      </c>
      <c r="B5" s="28" t="s">
        <v>185</v>
      </c>
      <c r="C5" s="28" t="s">
        <v>186</v>
      </c>
      <c r="D5" s="28" t="s">
        <v>87</v>
      </c>
      <c r="E5" s="25" t="s">
        <v>36</v>
      </c>
      <c r="F5" s="27" t="s">
        <v>75</v>
      </c>
      <c r="G5" s="26" t="s">
        <v>5</v>
      </c>
      <c r="H5" s="28"/>
      <c r="I5" s="28"/>
      <c r="J5" s="27"/>
    </row>
    <row r="6" customFormat="false" ht="48" hidden="false" customHeight="true" outlineLevel="0" collapsed="false">
      <c r="A6" s="23" t="s">
        <v>187</v>
      </c>
      <c r="B6" s="24" t="s">
        <v>188</v>
      </c>
      <c r="C6" s="24" t="s">
        <v>189</v>
      </c>
      <c r="D6" s="24" t="s">
        <v>91</v>
      </c>
      <c r="E6" s="25" t="s">
        <v>36</v>
      </c>
      <c r="F6" s="23" t="s">
        <v>75</v>
      </c>
      <c r="G6" s="26" t="s">
        <v>5</v>
      </c>
      <c r="H6" s="24"/>
      <c r="I6" s="24"/>
      <c r="J6" s="23"/>
    </row>
    <row r="7" customFormat="false" ht="48" hidden="false" customHeight="true" outlineLevel="0" collapsed="false">
      <c r="A7" s="27" t="s">
        <v>190</v>
      </c>
      <c r="B7" s="28" t="s">
        <v>191</v>
      </c>
      <c r="C7" s="28" t="s">
        <v>192</v>
      </c>
      <c r="D7" s="28" t="s">
        <v>95</v>
      </c>
      <c r="E7" s="25" t="s">
        <v>36</v>
      </c>
      <c r="F7" s="27" t="s">
        <v>75</v>
      </c>
      <c r="G7" s="26" t="s">
        <v>5</v>
      </c>
      <c r="H7" s="28"/>
      <c r="I7" s="28"/>
      <c r="J7" s="27"/>
    </row>
    <row r="8" customFormat="false" ht="48" hidden="false" customHeight="true" outlineLevel="0" collapsed="false">
      <c r="A8" s="23" t="s">
        <v>193</v>
      </c>
      <c r="B8" s="24" t="s">
        <v>194</v>
      </c>
      <c r="C8" s="24" t="s">
        <v>195</v>
      </c>
      <c r="D8" s="24" t="s">
        <v>99</v>
      </c>
      <c r="E8" s="25" t="s">
        <v>36</v>
      </c>
      <c r="F8" s="23" t="s">
        <v>75</v>
      </c>
      <c r="G8" s="26" t="s">
        <v>5</v>
      </c>
      <c r="H8" s="24"/>
      <c r="I8" s="24"/>
      <c r="J8" s="23"/>
    </row>
    <row r="9" customFormat="false" ht="48" hidden="false" customHeight="true" outlineLevel="0" collapsed="false">
      <c r="A9" s="27" t="s">
        <v>196</v>
      </c>
      <c r="B9" s="28" t="s">
        <v>197</v>
      </c>
      <c r="C9" s="28" t="s">
        <v>198</v>
      </c>
      <c r="D9" s="28" t="s">
        <v>158</v>
      </c>
      <c r="E9" s="25" t="s">
        <v>36</v>
      </c>
      <c r="F9" s="27" t="s">
        <v>115</v>
      </c>
      <c r="G9" s="26" t="s">
        <v>5</v>
      </c>
      <c r="H9" s="28"/>
      <c r="I9" s="28"/>
      <c r="J9" s="27"/>
    </row>
    <row r="10" customFormat="false" ht="48" hidden="false" customHeight="true" outlineLevel="0" collapsed="false">
      <c r="A10" s="23" t="s">
        <v>199</v>
      </c>
      <c r="B10" s="24" t="s">
        <v>200</v>
      </c>
      <c r="C10" s="24" t="s">
        <v>201</v>
      </c>
      <c r="D10" s="24" t="s">
        <v>202</v>
      </c>
      <c r="E10" s="25" t="s">
        <v>36</v>
      </c>
      <c r="F10" s="23" t="s">
        <v>131</v>
      </c>
      <c r="G10" s="26" t="s">
        <v>5</v>
      </c>
      <c r="H10" s="24"/>
      <c r="I10" s="24"/>
      <c r="J10" s="23"/>
    </row>
  </sheetData>
  <mergeCells count="2">
    <mergeCell ref="A1:J1"/>
    <mergeCell ref="A2:J2"/>
  </mergeCells>
  <dataValidations count="2">
    <dataValidation allowBlank="true" error="Selecione um status válido" errorStyle="stop" errorTitle="Status inválido" operator="between" prompt="Selecione o status" promptTitle="Status" showDropDown="false" showErrorMessage="false" showInputMessage="false" sqref="G4:G10" type="list">
      <formula1>"Pendente,Em Andamento,Aprovado,Falhou,Bloqueado"</formula1>
      <formula2>0</formula2>
    </dataValidation>
    <dataValidation allowBlank="true" errorStyle="stop" operator="between" showDropDown="false" showErrorMessage="false" showInputMessage="false" sqref="E4:E10" type="list">
      <formula1>"Alta,Média,Baixa"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45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9" min="9" style="0" width="32"/>
    <col collapsed="false" customWidth="true" hidden="false" outlineLevel="0" max="10" min="10" style="0" width="14"/>
  </cols>
  <sheetData>
    <row r="1" customFormat="false" ht="31.5" hidden="false" customHeight="true" outlineLevel="0" collapsed="false">
      <c r="A1" s="21" t="s">
        <v>203</v>
      </c>
      <c r="B1" s="21"/>
      <c r="C1" s="21"/>
      <c r="D1" s="21"/>
      <c r="E1" s="21"/>
      <c r="F1" s="21"/>
      <c r="G1" s="21"/>
      <c r="H1" s="21"/>
      <c r="I1" s="21"/>
      <c r="J1" s="21"/>
    </row>
    <row r="2" customFormat="false" ht="19.5" hidden="false" customHeight="true" outlineLevel="0" collapsed="false">
      <c r="A2" s="22" t="s">
        <v>204</v>
      </c>
      <c r="B2" s="22"/>
      <c r="C2" s="22"/>
      <c r="D2" s="22"/>
      <c r="E2" s="22"/>
      <c r="F2" s="22"/>
      <c r="G2" s="22"/>
      <c r="H2" s="22"/>
      <c r="I2" s="22"/>
      <c r="J2" s="22"/>
    </row>
    <row r="3" customFormat="false" ht="27.75" hidden="false" customHeight="true" outlineLevel="0" collapsed="false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</row>
    <row r="4" customFormat="false" ht="48" hidden="false" customHeight="true" outlineLevel="0" collapsed="false">
      <c r="A4" s="23" t="s">
        <v>205</v>
      </c>
      <c r="B4" s="24" t="s">
        <v>206</v>
      </c>
      <c r="C4" s="24" t="s">
        <v>207</v>
      </c>
      <c r="D4" s="24" t="s">
        <v>168</v>
      </c>
      <c r="E4" s="25" t="s">
        <v>36</v>
      </c>
      <c r="F4" s="23" t="s">
        <v>115</v>
      </c>
      <c r="G4" s="26" t="s">
        <v>5</v>
      </c>
      <c r="H4" s="24"/>
      <c r="I4" s="24"/>
      <c r="J4" s="23"/>
    </row>
    <row r="5" customFormat="false" ht="48" hidden="false" customHeight="true" outlineLevel="0" collapsed="false">
      <c r="A5" s="27" t="s">
        <v>208</v>
      </c>
      <c r="B5" s="28" t="s">
        <v>209</v>
      </c>
      <c r="C5" s="28" t="s">
        <v>210</v>
      </c>
      <c r="D5" s="28" t="s">
        <v>211</v>
      </c>
      <c r="E5" s="25" t="s">
        <v>36</v>
      </c>
      <c r="F5" s="27" t="s">
        <v>115</v>
      </c>
      <c r="G5" s="26" t="s">
        <v>5</v>
      </c>
      <c r="H5" s="28"/>
      <c r="I5" s="28"/>
      <c r="J5" s="27"/>
    </row>
    <row r="6" customFormat="false" ht="48" hidden="false" customHeight="true" outlineLevel="0" collapsed="false">
      <c r="A6" s="23" t="s">
        <v>212</v>
      </c>
      <c r="B6" s="24" t="s">
        <v>213</v>
      </c>
      <c r="C6" s="24" t="s">
        <v>214</v>
      </c>
      <c r="D6" s="24" t="s">
        <v>215</v>
      </c>
      <c r="E6" s="25" t="s">
        <v>36</v>
      </c>
      <c r="F6" s="23" t="s">
        <v>75</v>
      </c>
      <c r="G6" s="26" t="s">
        <v>5</v>
      </c>
      <c r="H6" s="24"/>
      <c r="I6" s="24"/>
      <c r="J6" s="23"/>
    </row>
    <row r="7" customFormat="false" ht="48" hidden="false" customHeight="true" outlineLevel="0" collapsed="false">
      <c r="A7" s="27" t="s">
        <v>216</v>
      </c>
      <c r="B7" s="28" t="s">
        <v>217</v>
      </c>
      <c r="C7" s="28" t="s">
        <v>218</v>
      </c>
      <c r="D7" s="28" t="s">
        <v>219</v>
      </c>
      <c r="E7" s="25" t="s">
        <v>36</v>
      </c>
      <c r="F7" s="27" t="s">
        <v>115</v>
      </c>
      <c r="G7" s="26" t="s">
        <v>5</v>
      </c>
      <c r="H7" s="28"/>
      <c r="I7" s="28"/>
      <c r="J7" s="27"/>
    </row>
    <row r="8" customFormat="false" ht="48" hidden="false" customHeight="true" outlineLevel="0" collapsed="false">
      <c r="A8" s="23" t="s">
        <v>220</v>
      </c>
      <c r="B8" s="24" t="s">
        <v>221</v>
      </c>
      <c r="C8" s="24" t="s">
        <v>222</v>
      </c>
      <c r="D8" s="24" t="s">
        <v>223</v>
      </c>
      <c r="E8" s="25" t="s">
        <v>36</v>
      </c>
      <c r="F8" s="23" t="s">
        <v>224</v>
      </c>
      <c r="G8" s="26" t="s">
        <v>5</v>
      </c>
      <c r="H8" s="24"/>
      <c r="I8" s="24"/>
      <c r="J8" s="23"/>
    </row>
    <row r="9" customFormat="false" ht="48" hidden="false" customHeight="true" outlineLevel="0" collapsed="false">
      <c r="A9" s="27" t="s">
        <v>225</v>
      </c>
      <c r="B9" s="28" t="s">
        <v>226</v>
      </c>
      <c r="C9" s="28" t="s">
        <v>227</v>
      </c>
      <c r="D9" s="28" t="s">
        <v>228</v>
      </c>
      <c r="E9" s="29" t="s">
        <v>51</v>
      </c>
      <c r="F9" s="27" t="s">
        <v>75</v>
      </c>
      <c r="G9" s="26" t="s">
        <v>5</v>
      </c>
      <c r="H9" s="28"/>
      <c r="I9" s="28"/>
      <c r="J9" s="27"/>
    </row>
  </sheetData>
  <mergeCells count="2">
    <mergeCell ref="A1:J1"/>
    <mergeCell ref="A2:J2"/>
  </mergeCells>
  <dataValidations count="2">
    <dataValidation allowBlank="true" error="Selecione um status válido" errorStyle="stop" errorTitle="Status inválido" operator="between" prompt="Selecione o status" promptTitle="Status" showDropDown="false" showErrorMessage="false" showInputMessage="false" sqref="G4:G9" type="list">
      <formula1>"Pendente,Em Andamento,Aprovado,Falhou,Bloqueado"</formula1>
      <formula2>0</formula2>
    </dataValidation>
    <dataValidation allowBlank="true" errorStyle="stop" operator="between" showDropDown="false" showErrorMessage="false" showInputMessage="false" sqref="E4:E9" type="list">
      <formula1>"Alta,Média,Baixa"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3" min="3" style="0" width="40"/>
    <col collapsed="false" customWidth="true" hidden="false" outlineLevel="0" max="4" min="4" style="0" width="45"/>
    <col collapsed="false" customWidth="true" hidden="false" outlineLevel="0" max="5" min="5" style="0" width="22"/>
    <col collapsed="false" customWidth="true" hidden="false" outlineLevel="0" max="6" min="6" style="0" width="10"/>
  </cols>
  <sheetData>
    <row r="1" customFormat="false" ht="31.5" hidden="false" customHeight="true" outlineLevel="0" collapsed="false">
      <c r="A1" s="30" t="s">
        <v>229</v>
      </c>
      <c r="B1" s="30"/>
      <c r="C1" s="30"/>
      <c r="D1" s="30"/>
      <c r="E1" s="30"/>
      <c r="F1" s="30"/>
    </row>
    <row r="2" customFormat="false" ht="19.5" hidden="false" customHeight="true" outlineLevel="0" collapsed="false">
      <c r="A2" s="31" t="s">
        <v>230</v>
      </c>
      <c r="B2" s="31"/>
      <c r="C2" s="31"/>
      <c r="D2" s="31"/>
      <c r="E2" s="31"/>
      <c r="F2" s="31"/>
    </row>
    <row r="3" customFormat="false" ht="27.75" hidden="false" customHeight="true" outlineLevel="0" collapsed="false">
      <c r="A3" s="4" t="s">
        <v>22</v>
      </c>
      <c r="B3" s="4" t="s">
        <v>231</v>
      </c>
      <c r="C3" s="4" t="s">
        <v>232</v>
      </c>
      <c r="D3" s="4" t="s">
        <v>233</v>
      </c>
      <c r="E3" s="4" t="s">
        <v>234</v>
      </c>
      <c r="F3" s="4" t="s">
        <v>26</v>
      </c>
    </row>
    <row r="4" customFormat="false" ht="48" hidden="false" customHeight="true" outlineLevel="0" collapsed="false">
      <c r="A4" s="23" t="s">
        <v>235</v>
      </c>
      <c r="B4" s="24" t="s">
        <v>236</v>
      </c>
      <c r="C4" s="24" t="s">
        <v>237</v>
      </c>
      <c r="D4" s="24" t="s">
        <v>238</v>
      </c>
      <c r="E4" s="24" t="s">
        <v>239</v>
      </c>
      <c r="F4" s="25" t="s">
        <v>36</v>
      </c>
    </row>
    <row r="5" customFormat="false" ht="48" hidden="false" customHeight="true" outlineLevel="0" collapsed="false">
      <c r="A5" s="32" t="s">
        <v>240</v>
      </c>
      <c r="B5" s="33" t="s">
        <v>241</v>
      </c>
      <c r="C5" s="33" t="s">
        <v>242</v>
      </c>
      <c r="D5" s="33" t="s">
        <v>243</v>
      </c>
      <c r="E5" s="33" t="s">
        <v>244</v>
      </c>
      <c r="F5" s="25" t="s">
        <v>36</v>
      </c>
    </row>
    <row r="6" customFormat="false" ht="48" hidden="false" customHeight="true" outlineLevel="0" collapsed="false">
      <c r="A6" s="23" t="s">
        <v>245</v>
      </c>
      <c r="B6" s="24" t="s">
        <v>246</v>
      </c>
      <c r="C6" s="24" t="s">
        <v>247</v>
      </c>
      <c r="D6" s="24" t="s">
        <v>248</v>
      </c>
      <c r="E6" s="24" t="s">
        <v>249</v>
      </c>
      <c r="F6" s="25" t="s">
        <v>36</v>
      </c>
    </row>
    <row r="7" customFormat="false" ht="48" hidden="false" customHeight="true" outlineLevel="0" collapsed="false">
      <c r="A7" s="32" t="s">
        <v>250</v>
      </c>
      <c r="B7" s="33" t="s">
        <v>251</v>
      </c>
      <c r="C7" s="33" t="s">
        <v>252</v>
      </c>
      <c r="D7" s="33" t="s">
        <v>253</v>
      </c>
      <c r="E7" s="33" t="s">
        <v>254</v>
      </c>
      <c r="F7" s="25" t="s">
        <v>36</v>
      </c>
    </row>
    <row r="8" customFormat="false" ht="48" hidden="false" customHeight="true" outlineLevel="0" collapsed="false">
      <c r="A8" s="23" t="s">
        <v>255</v>
      </c>
      <c r="B8" s="24" t="s">
        <v>256</v>
      </c>
      <c r="C8" s="24" t="s">
        <v>257</v>
      </c>
      <c r="D8" s="24" t="s">
        <v>258</v>
      </c>
      <c r="E8" s="24" t="s">
        <v>259</v>
      </c>
      <c r="F8" s="29" t="s">
        <v>51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40"/>
    <col collapsed="false" customWidth="true" hidden="false" outlineLevel="0" max="4" min="4" style="0" width="42"/>
    <col collapsed="false" customWidth="true" hidden="false" outlineLevel="0" max="5" min="5" style="0" width="14"/>
  </cols>
  <sheetData>
    <row r="1" customFormat="false" ht="31.5" hidden="false" customHeight="true" outlineLevel="0" collapsed="false">
      <c r="A1" s="21" t="s">
        <v>260</v>
      </c>
      <c r="B1" s="21"/>
      <c r="C1" s="21"/>
      <c r="D1" s="21"/>
      <c r="E1" s="21"/>
    </row>
    <row r="2" customFormat="false" ht="19.5" hidden="false" customHeight="true" outlineLevel="0" collapsed="false">
      <c r="A2" s="22" t="s">
        <v>261</v>
      </c>
      <c r="B2" s="22"/>
      <c r="C2" s="22"/>
      <c r="D2" s="22"/>
      <c r="E2" s="22"/>
    </row>
    <row r="3" customFormat="false" ht="24" hidden="false" customHeight="true" outlineLevel="0" collapsed="false">
      <c r="A3" s="34" t="s">
        <v>262</v>
      </c>
      <c r="B3" s="34"/>
      <c r="C3" s="34"/>
      <c r="D3" s="34"/>
      <c r="E3" s="34"/>
    </row>
    <row r="4" customFormat="false" ht="27.75" hidden="false" customHeight="true" outlineLevel="0" collapsed="false">
      <c r="A4" s="4" t="s">
        <v>263</v>
      </c>
      <c r="B4" s="4" t="s">
        <v>264</v>
      </c>
      <c r="C4" s="4" t="s">
        <v>265</v>
      </c>
      <c r="D4" s="4" t="s">
        <v>266</v>
      </c>
      <c r="E4" s="4" t="s">
        <v>267</v>
      </c>
    </row>
    <row r="5" customFormat="false" ht="55.5" hidden="false" customHeight="true" outlineLevel="0" collapsed="false">
      <c r="A5" s="35" t="s">
        <v>268</v>
      </c>
      <c r="B5" s="36" t="s">
        <v>269</v>
      </c>
      <c r="C5" s="37" t="s">
        <v>270</v>
      </c>
      <c r="D5" s="38" t="s">
        <v>271</v>
      </c>
      <c r="E5" s="39" t="s">
        <v>272</v>
      </c>
    </row>
    <row r="6" customFormat="false" ht="55.5" hidden="false" customHeight="true" outlineLevel="0" collapsed="false">
      <c r="A6" s="40" t="s">
        <v>273</v>
      </c>
      <c r="B6" s="36" t="s">
        <v>274</v>
      </c>
      <c r="C6" s="37" t="s">
        <v>275</v>
      </c>
      <c r="D6" s="38" t="s">
        <v>276</v>
      </c>
      <c r="E6" s="41" t="s">
        <v>277</v>
      </c>
    </row>
    <row r="7" customFormat="false" ht="55.5" hidden="false" customHeight="true" outlineLevel="0" collapsed="false">
      <c r="A7" s="42" t="s">
        <v>278</v>
      </c>
      <c r="B7" s="36" t="s">
        <v>279</v>
      </c>
      <c r="C7" s="37" t="s">
        <v>280</v>
      </c>
      <c r="D7" s="38" t="s">
        <v>281</v>
      </c>
      <c r="E7" s="41" t="s">
        <v>277</v>
      </c>
    </row>
    <row r="8" customFormat="false" ht="55.5" hidden="false" customHeight="true" outlineLevel="0" collapsed="false">
      <c r="A8" s="43" t="s">
        <v>282</v>
      </c>
      <c r="B8" s="36" t="s">
        <v>283</v>
      </c>
      <c r="C8" s="37" t="s">
        <v>284</v>
      </c>
      <c r="D8" s="38" t="s">
        <v>285</v>
      </c>
      <c r="E8" s="39" t="s">
        <v>272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2026-06-03T22:48:04Z</dcterms:created>
  <dc:creator>openpyxl</dc:creator>
  <dc:description/>
  <dc:language>en-US</dc:language>
  <cp:lastModifiedBy/>
  <dcterms:modified xsi:type="dcterms:W3CDTF">2026-06-03T22:48:04Z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